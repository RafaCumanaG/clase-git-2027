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raw_200" sheetId="1" r:id="rId5"/>
    <sheet state="visible" name="Maestro_productos_15" sheetId="2" r:id="rId6"/>
    <sheet state="visible" name="Tabla_Solucion" sheetId="3" r:id="rId7"/>
    <sheet state="visible" name="Reporte_Consolidado" sheetId="4" r:id="rId8"/>
    <sheet state="visible" name="Dashoboard_Ejecutivo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<sst xmlns="http://schemas.openxmlformats.org/spreadsheetml/2006/main" count="1745" uniqueCount="324">
  <si>
    <t>SKU</t>
  </si>
  <si>
    <t>Producto</t>
  </si>
  <si>
    <t>Categoria</t>
  </si>
  <si>
    <t>Proveedor</t>
  </si>
  <si>
    <t>Precio_Lista</t>
  </si>
  <si>
    <t>Costo_Base</t>
  </si>
  <si>
    <t>SKU-101</t>
  </si>
  <si>
    <t>Yerba Mate Premium 1kg</t>
  </si>
  <si>
    <t>Alimentos</t>
  </si>
  <si>
    <t>Cooperativa Neike</t>
  </si>
  <si>
    <t>3800</t>
  </si>
  <si>
    <t>2500</t>
  </si>
  <si>
    <t>SKU-102</t>
  </si>
  <si>
    <t>Alimento Perro Adulto 15kg</t>
  </si>
  <si>
    <t>Mascotas</t>
  </si>
  <si>
    <t>NutriDog Arg</t>
  </si>
  <si>
    <t>35000</t>
  </si>
  <si>
    <t>24000</t>
  </si>
  <si>
    <t>SKU-103</t>
  </si>
  <si>
    <t>Auriculares Bluetooth Pro</t>
  </si>
  <si>
    <t>Tecnología</t>
  </si>
  <si>
    <t>TechImport S.R.L.</t>
  </si>
  <si>
    <t>28000</t>
  </si>
  <si>
    <t>18000</t>
  </si>
  <si>
    <t>SKU-104</t>
  </si>
  <si>
    <t>Soporte Regulable Notebook</t>
  </si>
  <si>
    <t>19500</t>
  </si>
  <si>
    <t>12000</t>
  </si>
  <si>
    <t>SKU-105</t>
  </si>
  <si>
    <t>Correa Reforzada Canina 3m</t>
  </si>
  <si>
    <t>PetStyle Litoral</t>
  </si>
  <si>
    <t>9200</t>
  </si>
  <si>
    <t>5500</t>
  </si>
  <si>
    <t>SKU-106</t>
  </si>
  <si>
    <t>Juguete Mordillo Goma</t>
  </si>
  <si>
    <t>4800</t>
  </si>
  <si>
    <t>2700</t>
  </si>
  <si>
    <t>SKU-107</t>
  </si>
  <si>
    <t>Alimento Gato Castrado 10kg</t>
  </si>
  <si>
    <t>29500</t>
  </si>
  <si>
    <t>20000</t>
  </si>
  <si>
    <t>SKU-108</t>
  </si>
  <si>
    <t>Teclado Mecánico RGB</t>
  </si>
  <si>
    <t>45000</t>
  </si>
  <si>
    <t>30000</t>
  </si>
  <si>
    <t>SKU-109</t>
  </si>
  <si>
    <t>Café en Grano Intenso 1kg</t>
  </si>
  <si>
    <t>Distribuidora del Nordeste</t>
  </si>
  <si>
    <t>18500</t>
  </si>
  <si>
    <t>12500</t>
  </si>
  <si>
    <t>SKU-110</t>
  </si>
  <si>
    <t>Mates de Madera Calada</t>
  </si>
  <si>
    <t>Bazar</t>
  </si>
  <si>
    <t>Artesanías Guaraníes</t>
  </si>
  <si>
    <t>8500</t>
  </si>
  <si>
    <t>SKU-111</t>
  </si>
  <si>
    <t>Termo Acero Inoxidable 1.3L</t>
  </si>
  <si>
    <t>32000</t>
  </si>
  <si>
    <t>21000</t>
  </si>
  <si>
    <t>SKU-112</t>
  </si>
  <si>
    <t>Mouse Inalámbrico Ergonómico</t>
  </si>
  <si>
    <t>15000</t>
  </si>
  <si>
    <t>9500</t>
  </si>
  <si>
    <t>SKU-113</t>
  </si>
  <si>
    <t>Shampoo Canino Neutro 500ml</t>
  </si>
  <si>
    <t>6200</t>
  </si>
  <si>
    <t>SKU-114</t>
  </si>
  <si>
    <t>Snack Premios Perro 250g</t>
  </si>
  <si>
    <t>3100</t>
  </si>
  <si>
    <t>1800</t>
  </si>
  <si>
    <t>SKU-115</t>
  </si>
  <si>
    <t>Cargador Rápido USB-C 65W</t>
  </si>
  <si>
    <t>22000</t>
  </si>
  <si>
    <t>14000</t>
  </si>
  <si>
    <t>ID_Transaccion</t>
  </si>
  <si>
    <t>Fecha</t>
  </si>
  <si>
    <t>Largo_ID</t>
  </si>
  <si>
    <t>Sucursal</t>
  </si>
  <si>
    <t>Vendedor</t>
  </si>
  <si>
    <t>Cantidad</t>
  </si>
  <si>
    <t>Precio_Unitario</t>
  </si>
  <si>
    <t>Costo_Unitario</t>
  </si>
  <si>
    <t>Sucursal_Limpia</t>
  </si>
  <si>
    <t>Cantidad_Auditada</t>
  </si>
  <si>
    <t>TRX-1001</t>
  </si>
  <si>
    <t>Vendedor_Limpio</t>
  </si>
  <si>
    <t>Producto_Limpio</t>
  </si>
  <si>
    <t>Proveedor_oficial</t>
  </si>
  <si>
    <t>Corrientes</t>
  </si>
  <si>
    <t>Categoria_oficial</t>
  </si>
  <si>
    <t>Ana Martinez</t>
  </si>
  <si>
    <t>Total_Venta</t>
  </si>
  <si>
    <t>mates de madera calada</t>
  </si>
  <si>
    <t>Total_Costo</t>
  </si>
  <si>
    <t>Ganancia_Neta</t>
  </si>
  <si>
    <t>Comision</t>
  </si>
  <si>
    <t xml:space="preserve">CIUDAD </t>
  </si>
  <si>
    <t xml:space="preserve">TOTAL_VENTAS </t>
  </si>
  <si>
    <t>TRX-1002</t>
  </si>
  <si>
    <t>Posadas</t>
  </si>
  <si>
    <t>Juan Perez</t>
  </si>
  <si>
    <t>termo acero inoxidable 1.3l</t>
  </si>
  <si>
    <t>Resistencia</t>
  </si>
  <si>
    <t>Formosa</t>
  </si>
  <si>
    <t>TRX-1003</t>
  </si>
  <si>
    <t>TRX-1004</t>
  </si>
  <si>
    <t>ANA MARTINEZ</t>
  </si>
  <si>
    <t>TRX-1005</t>
  </si>
  <si>
    <t>CORRIENTES</t>
  </si>
  <si>
    <t>TRX-1006</t>
  </si>
  <si>
    <t>correa reforzada canina 3m</t>
  </si>
  <si>
    <t>TRX-1007</t>
  </si>
  <si>
    <t>TRX-1008</t>
  </si>
  <si>
    <t>MARIA GOMEZ</t>
  </si>
  <si>
    <t>TRX-1009</t>
  </si>
  <si>
    <t>juan perez</t>
  </si>
  <si>
    <t>TRX-1010</t>
  </si>
  <si>
    <t>TRX-1011</t>
  </si>
  <si>
    <t>POSADAS</t>
  </si>
  <si>
    <t>TRX-1012</t>
  </si>
  <si>
    <t>TRX-1013</t>
  </si>
  <si>
    <t>TRX-1014</t>
  </si>
  <si>
    <t>TRX-1015</t>
  </si>
  <si>
    <t>TRX-1016</t>
  </si>
  <si>
    <t>TRX-1017</t>
  </si>
  <si>
    <t>TRX-1018</t>
  </si>
  <si>
    <t>TRX-1019</t>
  </si>
  <si>
    <t>carlos ruiz</t>
  </si>
  <si>
    <t>TRX-1020</t>
  </si>
  <si>
    <t>TRX-1021</t>
  </si>
  <si>
    <t>mouse inalámbrico ergonómico</t>
  </si>
  <si>
    <t>TRX-1022</t>
  </si>
  <si>
    <t>TRX-1023</t>
  </si>
  <si>
    <t>resistencia</t>
  </si>
  <si>
    <t>TRX-1024</t>
  </si>
  <si>
    <t>TRX-1025</t>
  </si>
  <si>
    <t>TRX-1026</t>
  </si>
  <si>
    <t>TRX-1027</t>
  </si>
  <si>
    <t>TRX-1028</t>
  </si>
  <si>
    <t>TRX-1029</t>
  </si>
  <si>
    <t>TRX-1030</t>
  </si>
  <si>
    <t>Carlos Ruiz</t>
  </si>
  <si>
    <t>TRX-1031</t>
  </si>
  <si>
    <t>TRX-1032</t>
  </si>
  <si>
    <t>TRX-1033</t>
  </si>
  <si>
    <t>TRX-1034</t>
  </si>
  <si>
    <t>TRX-1035</t>
  </si>
  <si>
    <t>TRX-1036</t>
  </si>
  <si>
    <t>TRX-1037</t>
  </si>
  <si>
    <t>TRX-1038</t>
  </si>
  <si>
    <t>TRX-1039</t>
  </si>
  <si>
    <t>TRX-1040</t>
  </si>
  <si>
    <t>TRX-1041</t>
  </si>
  <si>
    <t>TRX-1042</t>
  </si>
  <si>
    <t>TRX-1043</t>
  </si>
  <si>
    <t>TRX-1044</t>
  </si>
  <si>
    <t>shampoo canino neutro 500ml</t>
  </si>
  <si>
    <t>TRX-1045</t>
  </si>
  <si>
    <t>TRX-1046</t>
  </si>
  <si>
    <t>TRX-1047</t>
  </si>
  <si>
    <t>TRX-1048</t>
  </si>
  <si>
    <t>yerba mate premium 1kg</t>
  </si>
  <si>
    <t xml:space="preserve">SUM de TOTAL_VENTAS </t>
  </si>
  <si>
    <t xml:space="preserve">GANANCIA NETA TOTAL </t>
  </si>
  <si>
    <t>MARGEN PROMEDIO GENERAL</t>
  </si>
  <si>
    <t>Suma total</t>
  </si>
  <si>
    <t>SUM de Total_Venta</t>
  </si>
  <si>
    <t>TRX-1049</t>
  </si>
  <si>
    <t>TRX-1050</t>
  </si>
  <si>
    <t>TRX-1051</t>
  </si>
  <si>
    <t>TRX-1052</t>
  </si>
  <si>
    <t>café en grano intenso 1kg</t>
  </si>
  <si>
    <t>TRX-1053</t>
  </si>
  <si>
    <t>TRX-1054</t>
  </si>
  <si>
    <t>TRX-1055</t>
  </si>
  <si>
    <t>TRX-1056</t>
  </si>
  <si>
    <t>TRX-1057</t>
  </si>
  <si>
    <t>TRX-1058</t>
  </si>
  <si>
    <t>TRX-1059</t>
  </si>
  <si>
    <t>TRX-1060</t>
  </si>
  <si>
    <t>TRX-1061</t>
  </si>
  <si>
    <t>TRX-1062</t>
  </si>
  <si>
    <t>TRX-1063</t>
  </si>
  <si>
    <t>TRX-1064</t>
  </si>
  <si>
    <t>TRX-1065</t>
  </si>
  <si>
    <t>TRX-1066</t>
  </si>
  <si>
    <t>TRX-1067</t>
  </si>
  <si>
    <t>TRX-1068</t>
  </si>
  <si>
    <t>TRX-1069</t>
  </si>
  <si>
    <t>TRX-1070</t>
  </si>
  <si>
    <t>TRX-1071</t>
  </si>
  <si>
    <t>TRX-1072</t>
  </si>
  <si>
    <t>TRX-1073</t>
  </si>
  <si>
    <t>TRX-1074</t>
  </si>
  <si>
    <t>TRX-1075</t>
  </si>
  <si>
    <t>TRX-1076</t>
  </si>
  <si>
    <t>TRX-1077</t>
  </si>
  <si>
    <t>TRX-1078</t>
  </si>
  <si>
    <t>TRX-1079</t>
  </si>
  <si>
    <t>TRX-1080</t>
  </si>
  <si>
    <t>TRX-1081</t>
  </si>
  <si>
    <t>TRX-1082</t>
  </si>
  <si>
    <t>TRX-1083</t>
  </si>
  <si>
    <t>TRX-1084</t>
  </si>
  <si>
    <t>TRX-1085</t>
  </si>
  <si>
    <t>TRX-1086</t>
  </si>
  <si>
    <t>TRX-1087</t>
  </si>
  <si>
    <t>TRX-1088</t>
  </si>
  <si>
    <t>TRX-1089</t>
  </si>
  <si>
    <t>TRX-1090</t>
  </si>
  <si>
    <t>TRX-1091</t>
  </si>
  <si>
    <t>TRX-1092</t>
  </si>
  <si>
    <t>TRX-1093</t>
  </si>
  <si>
    <t>TRX-1094</t>
  </si>
  <si>
    <t>TRX-1095</t>
  </si>
  <si>
    <t>TRX-1096</t>
  </si>
  <si>
    <t>TRX-1097</t>
  </si>
  <si>
    <t>TRX-1098</t>
  </si>
  <si>
    <t>TRX-1099</t>
  </si>
  <si>
    <t>TRX-1100</t>
  </si>
  <si>
    <t>TRX-1101</t>
  </si>
  <si>
    <t>TRX-1102</t>
  </si>
  <si>
    <t>TRX-1103</t>
  </si>
  <si>
    <t>TRX-1104</t>
  </si>
  <si>
    <t>TRX-1105</t>
  </si>
  <si>
    <t>TRX-1106</t>
  </si>
  <si>
    <t>snack premios perro 250g</t>
  </si>
  <si>
    <t>TRX-1107</t>
  </si>
  <si>
    <t>TRX-1108</t>
  </si>
  <si>
    <t>TRX-1109</t>
  </si>
  <si>
    <t>TRX-1110</t>
  </si>
  <si>
    <t>TRX-1111</t>
  </si>
  <si>
    <t>juguete mordillo goma</t>
  </si>
  <si>
    <t>TRX-1112</t>
  </si>
  <si>
    <t>TRX-1113</t>
  </si>
  <si>
    <t>TRX-1114</t>
  </si>
  <si>
    <t>TRX-1115</t>
  </si>
  <si>
    <t>TRX-1116</t>
  </si>
  <si>
    <t>TRX-1117</t>
  </si>
  <si>
    <t>TRX-1118</t>
  </si>
  <si>
    <t>TRX-1119</t>
  </si>
  <si>
    <t>TRX-1120</t>
  </si>
  <si>
    <t>TRX-1121</t>
  </si>
  <si>
    <t>TRX-1122</t>
  </si>
  <si>
    <t>TRX-1123</t>
  </si>
  <si>
    <t>TRX-1124</t>
  </si>
  <si>
    <t>TRX-1125</t>
  </si>
  <si>
    <t>TRX-1126</t>
  </si>
  <si>
    <t>TRX-1127</t>
  </si>
  <si>
    <t>TRX-1128</t>
  </si>
  <si>
    <t>TRX-1129</t>
  </si>
  <si>
    <t>TRX-1130</t>
  </si>
  <si>
    <t>TRX-1131</t>
  </si>
  <si>
    <t>TRX-1132</t>
  </si>
  <si>
    <t>TRX-1133</t>
  </si>
  <si>
    <t>TRX-1134</t>
  </si>
  <si>
    <t>TRX-1135</t>
  </si>
  <si>
    <t>soporte regulable notebook</t>
  </si>
  <si>
    <t>TRX-1136</t>
  </si>
  <si>
    <t>TRX-1137</t>
  </si>
  <si>
    <t>TRX-1138</t>
  </si>
  <si>
    <t>TRX-1139</t>
  </si>
  <si>
    <t>TRX-1140</t>
  </si>
  <si>
    <t>TRX-1141</t>
  </si>
  <si>
    <t>TRX-1142</t>
  </si>
  <si>
    <t>TRX-1143</t>
  </si>
  <si>
    <t>TRX-1144</t>
  </si>
  <si>
    <t>TRX-1145</t>
  </si>
  <si>
    <t>TRX-1146</t>
  </si>
  <si>
    <t>TRX-1147</t>
  </si>
  <si>
    <t>TRX-1148</t>
  </si>
  <si>
    <t>TRX-1149</t>
  </si>
  <si>
    <t>TRX-1150</t>
  </si>
  <si>
    <t>TRX-1151</t>
  </si>
  <si>
    <t>TRX-1152</t>
  </si>
  <si>
    <t>TRX-1153</t>
  </si>
  <si>
    <t>TRX-1154</t>
  </si>
  <si>
    <t>TRX-1155</t>
  </si>
  <si>
    <t>TRX-1156</t>
  </si>
  <si>
    <t>TRX-1157</t>
  </si>
  <si>
    <t>TRX-1158</t>
  </si>
  <si>
    <t>auriculares bluetooth pro</t>
  </si>
  <si>
    <t>TRX-1159</t>
  </si>
  <si>
    <t>TRX-1160</t>
  </si>
  <si>
    <t>TRX-1161</t>
  </si>
  <si>
    <t>TRX-1162</t>
  </si>
  <si>
    <t>TRX-1163</t>
  </si>
  <si>
    <t>TRX-1164</t>
  </si>
  <si>
    <t>TRX-1165</t>
  </si>
  <si>
    <t>TRX-1166</t>
  </si>
  <si>
    <t>TRX-1167</t>
  </si>
  <si>
    <t>TRX-1168</t>
  </si>
  <si>
    <t>TRX-1169</t>
  </si>
  <si>
    <t>TRX-1170</t>
  </si>
  <si>
    <t>TRX-1171</t>
  </si>
  <si>
    <t>TRX-1172</t>
  </si>
  <si>
    <t>TRX-1173</t>
  </si>
  <si>
    <t>TRX-1174</t>
  </si>
  <si>
    <t>TRX-1175</t>
  </si>
  <si>
    <t>TRX-1176</t>
  </si>
  <si>
    <t>TRX-1177</t>
  </si>
  <si>
    <t>TRX-1178</t>
  </si>
  <si>
    <t>TRX-1179</t>
  </si>
  <si>
    <t>TRX-1180</t>
  </si>
  <si>
    <t>TRX-1181</t>
  </si>
  <si>
    <t>TRX-1182</t>
  </si>
  <si>
    <t>TRX-1183</t>
  </si>
  <si>
    <t>TRX-1184</t>
  </si>
  <si>
    <t>TRX-1185</t>
  </si>
  <si>
    <t>TRX-1186</t>
  </si>
  <si>
    <t>TRX-1187</t>
  </si>
  <si>
    <t>TRX-1188</t>
  </si>
  <si>
    <t>TRX-1189</t>
  </si>
  <si>
    <t>TRX-1190</t>
  </si>
  <si>
    <t>TRX-1191</t>
  </si>
  <si>
    <t>TRX-1192</t>
  </si>
  <si>
    <t>TRX-1193</t>
  </si>
  <si>
    <t>TRX-1194</t>
  </si>
  <si>
    <t>TRX-1195</t>
  </si>
  <si>
    <t>TRX-1196</t>
  </si>
  <si>
    <t>TRX-1197</t>
  </si>
  <si>
    <t>TRX-1198</t>
  </si>
  <si>
    <t>TRX-1199</t>
  </si>
  <si>
    <t>TRX-1200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</si>
</sst>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#,##0.00\ [$€-1]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3.0"/>
      <color theme="7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1" fillId="0" fontId="3" numFmtId="0" xfId="0" applyAlignment="1" applyBorder="1" applyFont="1">
      <alignment readingOrder="0"/>
    </xf>
    <xf borderId="1" fillId="0" fontId="3" numFmtId="165" xfId="0" applyBorder="1" applyFont="1" applyNumberFormat="1"/>
    <xf borderId="0" fillId="0" fontId="2" numFmtId="165" xfId="0" applyFont="1" applyNumberFormat="1"/>
    <xf borderId="1" fillId="0" fontId="3" numFmtId="10" xfId="0" applyAlignment="1" applyBorder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Tabla_Solu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ntas_raw_200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porte_Consolidad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Distribuicion porcentual de ventas por categoria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Dashoboard_Ejecutivo!$G$7</c:f>
            </c:strRef>
          </c:tx>
          <c:dPt>
            <c:idx val="0"/>
            <c:spPr>
              <a:solidFill>
                <a:srgbClr val="BF9000"/>
              </a:solidFill>
            </c:spPr>
          </c:dPt>
          <c:dPt>
            <c:idx val="1"/>
            <c:explosion val="0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Dashoboard_Ejecutivo!$F$8:$F$12</c:f>
            </c:strRef>
          </c:cat>
          <c:val>
            <c:numRef>
              <c:f>Dashoboard_Ejecutivo!$G$8:$G$12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  <c:plotVisOnly val="1"/>
  </c:chart>
  <c:spPr>
    <a:solidFill>
      <a:srgbClr val="CFE2F3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438150</xdr:colOff>
      <xdr:row>1</xdr:row>
      <xdr:rowOff>38100</xdr:rowOff>
    </xdr:from>
    <xdr:ext cx="3609975" cy="904875"/>
    <xdr:pic>
      <xdr:nvPicPr>
        <xdr:cNvPr id="123760392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7</xdr:row>
      <xdr:rowOff>152400</xdr:rowOff>
    </xdr:from>
    <xdr:ext cx="4724400" cy="2924175"/>
    <xdr:pic>
      <xdr:nvPicPr>
        <xdr:cNvPr id="225896217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800100</xdr:colOff>
      <xdr:row>5</xdr:row>
      <xdr:rowOff>85725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5" sheet="Reporte_Consolidado"/>
  </cacheSource>
  <cacheFields>
    <cacheField name="CIUDAD " numFmtId="0">
      <sharedItems>
        <s v="Corrientes"/>
        <s v="Posadas"/>
        <s v="Resistencia"/>
        <s v="Formosa"/>
      </sharedItems>
    </cacheField>
    <cacheField name="TOTAL_VENTAS " numFmtId="0">
      <sharedItems containsSemiMixedTypes="0" containsString="0" containsNumber="1" containsInteger="1">
        <n v="8339700.0"/>
        <n v="1.23054E7"/>
        <n v="1.33944E7"/>
        <n v="649910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201" sheet="Tabla_Solucion"/>
  </cacheSource>
  <cacheFields>
    <cacheField name="ID_Transaccion" numFmtId="0">
      <sharedItems>
        <s v="TRX-1001"/>
        <s v="TRX-1002"/>
        <s v="TRX-1003"/>
        <s v="TRX-1004"/>
        <s v="TRX-1005"/>
        <s v="TRX-1006"/>
        <s v="TRX-1007"/>
        <s v="TRX-1008"/>
        <s v="TRX-1009"/>
        <s v="TRX-1010"/>
        <s v="TRX-1011"/>
        <s v="TRX-1012"/>
        <s v="TRX-1013"/>
        <s v="TRX-1014"/>
        <s v="TRX-1015"/>
        <s v="TRX-1016"/>
        <s v="TRX-1017"/>
        <s v="TRX-1018"/>
        <s v="TRX-1019"/>
        <s v="TRX-1020"/>
        <s v="TRX-1021"/>
        <s v="TRX-1022"/>
        <s v="TRX-1023"/>
        <s v="TRX-1024"/>
        <s v="TRX-1025"/>
        <s v="TRX-1026"/>
        <s v="TRX-1027"/>
        <s v="TRX-1028"/>
        <s v="TRX-1029"/>
        <s v="TRX-1030"/>
        <s v="TRX-1031"/>
        <s v="TRX-1032"/>
        <s v="TRX-1033"/>
        <s v="TRX-1034"/>
        <s v="TRX-1035"/>
        <s v="TRX-1036"/>
        <s v="TRX-1037"/>
        <s v="TRX-1038"/>
        <s v="TRX-1039"/>
        <s v="TRX-1040"/>
        <s v="TRX-1041"/>
        <s v="TRX-1042"/>
        <s v="TRX-1043"/>
        <s v="TRX-1044"/>
        <s v="TRX-1045"/>
        <s v="TRX-1046"/>
        <s v="TRX-1047"/>
        <s v="TRX-1048"/>
        <s v="TRX-1049"/>
        <s v="TRX-1050"/>
        <s v="TRX-1051"/>
        <s v="TRX-1052"/>
        <s v="TRX-1053"/>
        <s v="TRX-1054"/>
        <s v="TRX-1055"/>
        <s v="TRX-1056"/>
        <s v="TRX-1057"/>
        <s v="TRX-1058"/>
        <s v="TRX-1059"/>
        <s v="TRX-1060"/>
        <s v="TRX-1061"/>
        <s v="TRX-1062"/>
        <s v="TRX-1063"/>
        <s v="TRX-1064"/>
        <s v="TRX-1065"/>
        <s v="TRX-1066"/>
        <s v="TRX-1067"/>
        <s v="TRX-1068"/>
        <s v="TRX-1069"/>
        <s v="TRX-1070"/>
        <s v="TRX-1071"/>
        <s v="TRX-1072"/>
        <s v="TRX-1073"/>
        <s v="TRX-1074"/>
        <s v="TRX-1075"/>
        <s v="TRX-1076"/>
        <s v="TRX-1077"/>
        <s v="TRX-1078"/>
        <s v="TRX-1079"/>
        <s v="TRX-1080"/>
        <s v="TRX-1081"/>
        <s v="TRX-1082"/>
        <s v="TRX-1083"/>
        <s v="TRX-1084"/>
        <s v="TRX-1085"/>
        <s v="TRX-1086"/>
        <s v="TRX-1087"/>
        <s v="TRX-1088"/>
        <s v="TRX-1089"/>
        <s v="TRX-1090"/>
        <s v="TRX-1091"/>
        <s v="TRX-1092"/>
        <s v="TRX-1093"/>
        <s v="TRX-1094"/>
        <s v="TRX-1095"/>
        <s v="TRX-1096"/>
        <s v="TRX-1097"/>
        <s v="TRX-1098"/>
        <s v="TRX-1099"/>
        <s v="TRX-1100"/>
        <s v="TRX-1101"/>
        <s v="TRX-1102"/>
        <s v="TRX-1103"/>
        <s v="TRX-1104"/>
        <s v="TRX-1105"/>
        <s v="TRX-1106"/>
        <s v="TRX-1107"/>
        <s v="TRX-1108"/>
        <s v="TRX-1109"/>
        <s v="TRX-1110"/>
        <s v="TRX-1111"/>
        <s v="TRX-1112"/>
        <s v="TRX-1113"/>
        <s v="TRX-1114"/>
        <s v="TRX-1115"/>
        <s v="TRX-1116"/>
        <s v="TRX-1117"/>
        <s v="TRX-1118"/>
        <s v="TRX-1119"/>
        <s v="TRX-1120"/>
        <s v="TRX-1121"/>
        <s v="TRX-1122"/>
        <s v="TRX-1123"/>
        <s v="TRX-1124"/>
        <s v="TRX-1125"/>
        <s v="TRX-1126"/>
        <s v="TRX-1127"/>
        <s v="TRX-1128"/>
        <s v="TRX-1129"/>
        <s v="TRX-1130"/>
        <s v="TRX-1131"/>
        <s v="TRX-1132"/>
        <s v="TRX-1133"/>
        <s v="TRX-1134"/>
        <s v="TRX-1135"/>
        <s v="TRX-1136"/>
        <s v="TRX-1137"/>
        <s v="TRX-1138"/>
        <s v="TRX-1139"/>
        <s v="TRX-1140"/>
        <s v="TRX-1141"/>
        <s v="TRX-1142"/>
        <s v="TRX-1143"/>
        <s v="TRX-1144"/>
        <s v="TRX-1145"/>
        <s v="TRX-1146"/>
        <s v="TRX-1147"/>
        <s v="TRX-1148"/>
        <s v="TRX-1149"/>
        <s v="TRX-1150"/>
        <s v="TRX-1151"/>
        <s v="TRX-1152"/>
        <s v="TRX-1153"/>
        <s v="TRX-1154"/>
        <s v="TRX-1155"/>
        <s v="TRX-1156"/>
        <s v="TRX-1157"/>
        <s v="TRX-1158"/>
        <s v="TRX-1159"/>
        <s v="TRX-1160"/>
        <s v="TRX-1161"/>
        <s v="TRX-1162"/>
        <s v="TRX-1163"/>
        <s v="TRX-1164"/>
        <s v="TRX-1165"/>
        <s v="TRX-1166"/>
        <s v="TRX-1167"/>
        <s v="TRX-1168"/>
        <s v="TRX-1169"/>
        <s v="TRX-1170"/>
        <s v="TRX-1171"/>
        <s v="TRX-1172"/>
        <s v="TRX-1173"/>
        <s v="TRX-1174"/>
        <s v="TRX-1175"/>
        <s v="TRX-1176"/>
        <s v="TRX-1177"/>
        <s v="TRX-1178"/>
        <s v="TRX-1179"/>
        <s v="TRX-1180"/>
        <s v="TRX-1181"/>
        <s v="TRX-1182"/>
        <s v="TRX-1183"/>
        <s v="TRX-1184"/>
        <s v="TRX-1185"/>
        <s v="TRX-1186"/>
        <s v="TRX-1187"/>
        <s v="TRX-1188"/>
        <s v="TRX-1189"/>
        <s v="TRX-1190"/>
        <s v="TRX-1191"/>
        <s v="TRX-1192"/>
        <s v="TRX-1193"/>
        <s v="TRX-1194"/>
        <s v="TRX-1195"/>
        <s v="TRX-1196"/>
        <s v="TRX-1197"/>
        <s v="TRX-1198"/>
        <s v="TRX-1199"/>
        <s v="TRX-1200"/>
      </sharedItems>
    </cacheField>
    <cacheField name="Largo_ID" numFmtId="0">
      <sharedItems containsSemiMixedTypes="0" containsString="0" containsNumber="1" containsInteger="1">
        <n v="8.0"/>
      </sharedItems>
    </cacheField>
    <cacheField name="Fecha" numFmtId="164">
      <sharedItems containsSemiMixedTypes="0" containsDate="1" containsString="0">
        <d v="2026-03-30T00:00:00Z"/>
        <d v="2026-03-25T00:00:00Z"/>
        <d v="2026-03-01T00:00:00Z"/>
        <d v="2026-03-26T00:00:00Z"/>
        <d v="2026-03-21T00:00:00Z"/>
        <d v="2026-01-29T00:00:00Z"/>
        <d v="2026-01-03T00:00:00Z"/>
        <d v="2026-01-28T00:00:00Z"/>
        <d v="2026-02-23T00:00:00Z"/>
        <d v="2026-01-02T00:00:00Z"/>
        <d v="2026-03-18T00:00:00Z"/>
        <d v="2026-03-03T00:00:00Z"/>
        <d v="2026-01-04T00:00:00Z"/>
        <d v="2026-03-05T00:00:00Z"/>
        <d v="2026-03-13T00:00:00Z"/>
        <d v="2026-03-31T00:00:00Z"/>
        <d v="2026-01-09T00:00:00Z"/>
        <d v="2026-02-03T00:00:00Z"/>
        <d v="2026-02-08T00:00:00Z"/>
        <d v="2026-01-26T00:00:00Z"/>
        <d v="2026-01-14T00:00:00Z"/>
        <d v="2026-02-04T00:00:00Z"/>
        <d v="2026-02-13T00:00:00Z"/>
        <d v="2026-03-28T00:00:00Z"/>
        <d v="2026-02-20T00:00:00Z"/>
        <d v="2026-01-08T00:00:00Z"/>
        <d v="2026-01-22T00:00:00Z"/>
        <d v="2026-01-05T00:00:00Z"/>
        <d v="2026-01-07T00:00:00Z"/>
        <d v="2026-03-06T00:00:00Z"/>
        <d v="2026-01-15T00:00:00Z"/>
        <d v="2026-02-16T00:00:00Z"/>
        <d v="2026-03-27T00:00:00Z"/>
        <d v="2026-02-07T00:00:00Z"/>
        <d v="2026-02-22T00:00:00Z"/>
        <d v="2026-03-22T00:00:00Z"/>
        <d v="2026-03-23T00:00:00Z"/>
        <d v="2026-02-11T00:00:00Z"/>
        <d v="2026-03-19T00:00:00Z"/>
        <d v="2026-02-28T00:00:00Z"/>
        <d v="2026-03-04T00:00:00Z"/>
        <d v="2026-01-01T00:00:00Z"/>
        <d v="2026-03-29T00:00:00Z"/>
        <d v="2026-01-24T00:00:00Z"/>
        <d v="2026-01-12T00:00:00Z"/>
        <d v="2026-02-02T00:00:00Z"/>
        <d v="2026-03-16T00:00:00Z"/>
        <d v="2026-02-12T00:00:00Z"/>
        <d v="2026-01-21T00:00:00Z"/>
        <d v="2026-03-20T00:00:00Z"/>
        <d v="2026-02-05T00:00:00Z"/>
        <d v="2026-02-01T00:00:00Z"/>
        <d v="2026-03-07T00:00:00Z"/>
        <d v="2026-02-10T00:00:00Z"/>
        <d v="2026-03-15T00:00:00Z"/>
        <d v="2026-01-30T00:00:00Z"/>
        <d v="2026-02-21T00:00:00Z"/>
        <d v="2026-01-06T00:00:00Z"/>
        <d v="2026-01-27T00:00:00Z"/>
        <d v="2026-01-23T00:00:00Z"/>
        <d v="2026-02-14T00:00:00Z"/>
        <d v="2026-02-17T00:00:00Z"/>
        <d v="2026-03-14T00:00:00Z"/>
        <d v="2026-02-26T00:00:00Z"/>
        <d v="2026-03-17T00:00:00Z"/>
        <d v="2026-02-19T00:00:00Z"/>
        <d v="2026-03-12T00:00:00Z"/>
        <d v="2026-03-11T00:00:00Z"/>
      </sharedItems>
    </cacheField>
    <cacheField name="Sucursal" numFmtId="0">
      <sharedItems>
        <s v="Corrientes"/>
        <s v="Posadas"/>
        <s v="Resistencia"/>
        <s v="Formosa"/>
      </sharedItems>
    </cacheField>
    <cacheField name="Vendedor" numFmtId="0">
      <sharedItems>
        <s v="Ana Martinez"/>
        <s v="Juan Perez"/>
        <s v="MARIA GOMEZ"/>
        <s v="carlos ruiz"/>
      </sharedItems>
    </cacheField>
    <cacheField name="Producto" numFmtId="0">
      <sharedItems>
        <s v="mates de madera calada"/>
        <s v="termo acero inoxidable 1.3l"/>
        <s v="Mouse Inalámbrico Ergonómico"/>
        <s v="Yerba Mate Premium 1kg"/>
        <s v="correa reforzada canina 3m"/>
        <s v="Alimento Perro Adulto 15kg"/>
        <s v="Alimento Gato Castrado 10kg"/>
        <s v="Cargador Rápido USB-C 65W"/>
        <s v="Snack Premios Perro 250g"/>
        <s v="Juguete Mordillo Goma"/>
        <s v="Shampoo Canino Neutro 500ml"/>
        <s v="Soporte Regulable Notebook"/>
        <s v="Café en Grano Intenso 1kg"/>
        <s v="Teclado Mecánico RGB"/>
        <s v="Auriculares Bluetooth Pro"/>
      </sharedItems>
    </cacheField>
    <cacheField name="Cantidad" numFmtId="0">
      <sharedItems containsSemiMixedTypes="0" containsString="0" containsNumber="1" containsInteger="1">
        <n v="8.0"/>
        <n v="2.0"/>
        <n v="23.0"/>
        <n v="25.0"/>
        <n v="3.0"/>
        <n v="18.0"/>
        <n v="12.0"/>
        <n v="7.0"/>
        <n v="24.0"/>
        <n v="22.0"/>
        <n v="9.0"/>
        <n v="13.0"/>
        <n v="10.0"/>
        <n v="17.0"/>
        <n v="-5.0"/>
        <n v="20.0"/>
        <n v="14.0"/>
        <n v="4.0"/>
        <n v="16.0"/>
        <n v="1.0"/>
        <n v="11.0"/>
        <n v="15.0"/>
        <n v="5.0"/>
        <n v="21.0"/>
        <n v="19.0"/>
        <n v="6.0"/>
      </sharedItems>
    </cacheField>
    <cacheField name="Precio_Unitario" numFmtId="0">
      <sharedItems containsSemiMixedTypes="0" containsString="0" containsNumber="1" containsInteger="1">
        <n v="8500.0"/>
        <n v="32000.0"/>
        <n v="15000.0"/>
        <n v="3800.0"/>
        <n v="9200.0"/>
        <n v="35000.0"/>
        <n v="29500.0"/>
        <n v="22000.0"/>
        <n v="3100.0"/>
        <n v="4800.0"/>
        <n v="6200.0"/>
        <n v="19500.0"/>
        <n v="18500.0"/>
        <n v="45000.0"/>
        <n v="28000.0"/>
      </sharedItems>
    </cacheField>
    <cacheField name="Costo_Unitario" numFmtId="0">
      <sharedItems containsSemiMixedTypes="0" containsString="0" containsNumber="1" containsInteger="1">
        <n v="4800.0"/>
        <n v="21000.0"/>
        <n v="9500.0"/>
        <n v="2500.0"/>
        <n v="5500.0"/>
        <n v="24000.0"/>
        <n v="20000.0"/>
        <n v="14000.0"/>
        <n v="1800.0"/>
        <n v="2700.0"/>
        <n v="3800.0"/>
        <n v="12000.0"/>
        <n v="12500.0"/>
        <n v="30000.0"/>
        <n v="18000.0"/>
      </sharedItems>
    </cacheField>
    <cacheField name="Sucursal_Limpia" numFmtId="0">
      <sharedItems>
        <s v="Corrientes"/>
        <s v="Posadas"/>
        <s v="Resistencia"/>
        <s v="Formosa"/>
      </sharedItems>
    </cacheField>
    <cacheField name="Cantidad_Auditada" numFmtId="0">
      <sharedItems containsSemiMixedTypes="0" containsString="0" containsNumber="1" containsInteger="1">
        <n v="8.0"/>
        <n v="2.0"/>
        <n v="23.0"/>
        <n v="25.0"/>
        <n v="3.0"/>
        <n v="18.0"/>
        <n v="12.0"/>
        <n v="7.0"/>
        <n v="24.0"/>
        <n v="22.0"/>
        <n v="9.0"/>
        <n v="13.0"/>
        <n v="10.0"/>
        <n v="17.0"/>
        <n v="1.0"/>
        <n v="20.0"/>
        <n v="14.0"/>
        <n v="4.0"/>
        <n v="16.0"/>
        <n v="11.0"/>
        <n v="15.0"/>
        <n v="5.0"/>
        <n v="21.0"/>
        <n v="19.0"/>
        <n v="6.0"/>
      </sharedItems>
    </cacheField>
    <cacheField name="Vendedor_Limpio" numFmtId="0">
      <sharedItems>
        <s v="Ana Martinez"/>
        <s v="Juan Perez"/>
        <s v="Maria Gomez"/>
        <s v="Carlos Ruiz"/>
      </sharedItems>
    </cacheField>
    <cacheField name="Producto_Limpio" numFmtId="0">
      <sharedItems>
        <s v="Mates De Madera Calada"/>
        <s v="Termo Acero Inoxidable 1.3L"/>
        <s v="Mouse Inalámbrico Ergonómico"/>
        <s v="Yerba Mate Premium 1Kg"/>
        <s v="Correa Reforzada Canina 3M"/>
        <s v="Alimento Perro Adulto 15Kg"/>
        <s v="Alimento Gato Castrado 10Kg"/>
        <s v="Cargador Rápido Usb-C 65W"/>
        <s v="Snack Premios Perro 250G"/>
        <s v="Juguete Mordillo Goma"/>
        <s v="Shampoo Canino Neutro 500Ml"/>
        <s v="Soporte Regulable Notebook"/>
        <s v="Café En Grano Intenso 1Kg"/>
        <s v="Teclado Mecánico Rgb"/>
        <s v="Auriculares Bluetooth Pro"/>
      </sharedItems>
    </cacheField>
    <cacheField name="Proveedor_oficial" numFmtId="0">
      <sharedItems>
        <s v="Artesanías Guaraníes"/>
        <s v="Distribuidora del Nordeste"/>
        <s v="TechImport S.R.L."/>
        <s v="Cooperativa Neike"/>
        <s v="PetStyle Litoral"/>
        <s v="NutriDog Arg"/>
      </sharedItems>
    </cacheField>
    <cacheField name="Categoria_oficial" numFmtId="0">
      <sharedItems>
        <s v="Bazar"/>
        <s v="Tecnología"/>
        <s v="Alimentos"/>
        <s v="Mascotas"/>
      </sharedItems>
    </cacheField>
    <cacheField name="Total_Venta" numFmtId="0">
      <sharedItems containsSemiMixedTypes="0" containsString="0" containsNumber="1" containsInteger="1">
        <n v="68000.0"/>
        <n v="64000.0"/>
        <n v="345000.0"/>
        <n v="95000.0"/>
        <n v="45000.0"/>
        <n v="165600.0"/>
        <n v="420000.0"/>
        <n v="236000.0"/>
        <n v="154000.0"/>
        <n v="74400.0"/>
        <n v="649000.0"/>
        <n v="288000.0"/>
        <n v="62400.0"/>
        <n v="55800.0"/>
        <n v="9300.0"/>
        <n v="105000.0"/>
        <n v="83600.0"/>
        <n v="350000.0"/>
        <n v="544000.0"/>
        <n v="37200.0"/>
        <n v="-75000.0"/>
        <n v="70000.0"/>
        <n v="120000.0"/>
        <n v="590000.0"/>
        <n v="110500.0"/>
        <n v="58500.0"/>
        <n v="37000.0"/>
        <n v="206500.0"/>
        <n v="86800.0"/>
        <n v="140000.0"/>
        <n v="135000.0"/>
        <n v="84000.0"/>
        <n v="30000.0"/>
        <n v="53200.0"/>
        <n v="224000.0"/>
        <n v="448000.0"/>
        <n v="17000.0"/>
        <n v="736000.0"/>
        <n v="700000.0"/>
        <n v="501500.0"/>
        <n v="396000.0"/>
        <n v="136400.0"/>
        <n v="175500.0"/>
        <n v="512000.0"/>
        <n v="6200.0"/>
        <n v="68400.0"/>
        <n v="110400.0"/>
        <n v="56000.0"/>
        <n v="490000.0"/>
        <n v="259000.0"/>
        <n v="468000.0"/>
        <n v="280000.0"/>
        <n v="-160000.0"/>
        <n v="52700.0"/>
        <n v="405000.0"/>
        <n v="165000.0"/>
        <n v="644000.0"/>
        <n v="45600.0"/>
        <n v="92000.0"/>
        <n v="210000.0"/>
        <n v="810000.0"/>
        <n v="277500.0"/>
        <n v="96000.0"/>
        <n v="62000.0"/>
        <n v="49600.0"/>
        <n v="60000.0"/>
        <n v="375000.0"/>
        <n v="72000.0"/>
        <n v="34200.0"/>
        <n v="97500.0"/>
        <n v="32000.0"/>
        <n v="444000.0"/>
        <n v="80600.0"/>
        <n v="92500.0"/>
        <n v="800000.0"/>
        <n v="39000.0"/>
        <n v="99200.0"/>
        <n v="300000.0"/>
        <n v="18500.0"/>
        <n v="87400.0"/>
        <n v="24800.0"/>
        <n v="588000.0"/>
        <n v="252000.0"/>
        <n v="351500.0"/>
        <n v="180000.0"/>
        <n v="19500.0"/>
        <n v="352000.0"/>
        <n v="185000.0"/>
        <n v="234000.0"/>
        <n v="91200.0"/>
        <n v="285000.0"/>
        <n v="336000.0"/>
        <n v="1035000.0"/>
        <n v="31000.0"/>
        <n v="184000.0"/>
        <n v="273000.0"/>
        <n v="43400.0"/>
        <n v="8500.0"/>
        <n v="160000.0"/>
        <n v="46500.0"/>
        <n v="4800.0"/>
        <n v="57000.0"/>
        <n v="720000.0"/>
        <n v="76800.0"/>
        <n v="68200.0"/>
        <n v="484000.0"/>
        <n v="178500.0"/>
        <n v="147200.0"/>
        <n v="270000.0"/>
        <n v="312000.0"/>
        <n v="175000.0"/>
        <n v="22000.0"/>
        <n v="64400.0"/>
        <n v="220800.0"/>
        <n v="225000.0"/>
        <n v="308000.0"/>
        <n v="60800.0"/>
        <n v="119000.0"/>
        <n v="24000.0"/>
        <n v="85000.0"/>
        <n v="38400.0"/>
        <n v="195000.0"/>
        <n v="230000.0"/>
        <n v="630000.0"/>
        <n v="240500.0"/>
        <n v="222000.0"/>
        <n v="440000.0"/>
        <n v="75000.0"/>
        <n v="504000.0"/>
        <n v="392000.0"/>
        <n v="74000.0"/>
        <n v="3800.0"/>
        <n v="111000.0"/>
        <n v="855000.0"/>
        <n v="14400.0"/>
        <n v="640000.0"/>
        <n v="128000.0"/>
        <n v="26600.0"/>
        <n v="25500.0"/>
        <n v="19000.0"/>
        <n v="429000.0"/>
        <n v="88000.0"/>
        <n v="462500.0"/>
        <n v="18600.0"/>
        <n v="242000.0"/>
        <n v="245000.0"/>
        <n v="55200.0"/>
        <n v="34100.0"/>
        <n v="360000.0"/>
        <n v="212500.0"/>
        <n v="480000.0"/>
        <n v="560000.0"/>
      </sharedItems>
    </cacheField>
    <cacheField name="Total_Costo" numFmtId="0">
      <sharedItems containsSemiMixedTypes="0" containsString="0" containsNumber="1" containsInteger="1">
        <n v="38400.0"/>
        <n v="42000.0"/>
        <n v="218500.0"/>
        <n v="62500.0"/>
        <n v="28500.0"/>
        <n v="99000.0"/>
        <n v="288000.0"/>
        <n v="160000.0"/>
        <n v="98000.0"/>
        <n v="43200.0"/>
        <n v="440000.0"/>
        <n v="189000.0"/>
        <n v="35100.0"/>
        <n v="34200.0"/>
        <n v="5400.0"/>
        <n v="72000.0"/>
        <n v="55000.0"/>
        <n v="240000.0"/>
        <n v="357000.0"/>
        <n v="21600.0"/>
        <n v="-47500.0"/>
        <n v="48000.0"/>
        <n v="67500.0"/>
        <n v="400000.0"/>
        <n v="62400.0"/>
        <n v="36000.0"/>
        <n v="25000.0"/>
        <n v="140000.0"/>
        <n v="53200.0"/>
        <n v="96000.0"/>
        <n v="90000.0"/>
        <n v="54000.0"/>
        <n v="19000.0"/>
        <n v="35000.0"/>
        <n v="147000.0"/>
        <n v="9600.0"/>
        <n v="483000.0"/>
        <n v="450000.0"/>
        <n v="340000.0"/>
        <n v="252000.0"/>
        <n v="83600.0"/>
        <n v="108000.0"/>
        <n v="336000.0"/>
        <n v="3800.0"/>
        <n v="45000.0"/>
        <n v="66000.0"/>
        <n v="175000.0"/>
        <n v="192000.0"/>
        <n v="-105000.0"/>
        <n v="30600.0"/>
        <n v="270000.0"/>
        <n v="104500.0"/>
        <n v="414000.0"/>
        <n v="30000.0"/>
        <n v="133000.0"/>
        <n v="540000.0"/>
        <n v="187500.0"/>
        <n v="63000.0"/>
        <n v="38000.0"/>
        <n v="30400.0"/>
        <n v="237500.0"/>
        <n v="40500.0"/>
        <n v="22500.0"/>
        <n v="60000.0"/>
        <n v="21000.0"/>
        <n v="300000.0"/>
        <n v="49400.0"/>
        <n v="525000.0"/>
        <n v="24000.0"/>
        <n v="60800.0"/>
        <n v="190000.0"/>
        <n v="12500.0"/>
        <n v="57500.0"/>
        <n v="15200.0"/>
        <n v="378000.0"/>
        <n v="162000.0"/>
        <n v="114000.0"/>
        <n v="12000.0"/>
        <n v="224000.0"/>
        <n v="125000.0"/>
        <n v="144000.0"/>
        <n v="180500.0"/>
        <n v="216000.0"/>
        <n v="690000.0"/>
        <n v="18000.0"/>
        <n v="110000.0"/>
        <n v="168000.0"/>
        <n v="26600.0"/>
        <n v="4800.0"/>
        <n v="105000.0"/>
        <n v="27000.0"/>
        <n v="2700.0"/>
        <n v="37500.0"/>
        <n v="480000.0"/>
        <n v="41800.0"/>
        <n v="308000.0"/>
        <n v="100800.0"/>
        <n v="88000.0"/>
        <n v="171000.0"/>
        <n v="120000.0"/>
        <n v="14000.0"/>
        <n v="38500.0"/>
        <n v="132000.0"/>
        <n v="150000.0"/>
        <n v="198000.0"/>
        <n v="40000.0"/>
        <n v="180000.0"/>
        <n v="67200.0"/>
        <n v="22800.0"/>
        <n v="13500.0"/>
        <n v="137500.0"/>
        <n v="420000.0"/>
        <n v="162500.0"/>
        <n v="280000.0"/>
        <n v="47500.0"/>
        <n v="324000.0"/>
        <n v="50000.0"/>
        <n v="2500.0"/>
        <n v="75000.0"/>
        <n v="570000.0"/>
        <n v="8100.0"/>
        <n v="84000.0"/>
        <n v="17500.0"/>
        <n v="14400.0"/>
        <n v="264000.0"/>
        <n v="56000.0"/>
        <n v="312500.0"/>
        <n v="10800.0"/>
        <n v="154000.0"/>
        <n v="33000.0"/>
        <n v="19800.0"/>
        <n v="66500.0"/>
        <n v="315000.0"/>
        <n v="360000.0"/>
      </sharedItems>
    </cacheField>
    <cacheField name="Ganancia_Neta" numFmtId="0">
      <sharedItems containsSemiMixedTypes="0" containsString="0" containsNumber="1" containsInteger="1">
        <n v="29600.0"/>
        <n v="22000.0"/>
        <n v="126500.0"/>
        <n v="32500.0"/>
        <n v="16500.0"/>
        <n v="66600.0"/>
        <n v="132000.0"/>
        <n v="76000.0"/>
        <n v="56000.0"/>
        <n v="31200.0"/>
        <n v="209000.0"/>
        <n v="99000.0"/>
        <n v="27300.0"/>
        <n v="21600.0"/>
        <n v="3900.0"/>
        <n v="33000.0"/>
        <n v="28600.0"/>
        <n v="110000.0"/>
        <n v="187000.0"/>
        <n v="15600.0"/>
        <n v="-27500.0"/>
        <n v="52500.0"/>
        <n v="190000.0"/>
        <n v="48100.0"/>
        <n v="22500.0"/>
        <n v="12000.0"/>
        <n v="66500.0"/>
        <n v="33600.0"/>
        <n v="44000.0"/>
        <n v="45000.0"/>
        <n v="30000.0"/>
        <n v="11000.0"/>
        <n v="18200.0"/>
        <n v="77000.0"/>
        <n v="160000.0"/>
        <n v="7400.0"/>
        <n v="253000.0"/>
        <n v="250000.0"/>
        <n v="161500.0"/>
        <n v="144000.0"/>
        <n v="52800.0"/>
        <n v="67500.0"/>
        <n v="176000.0"/>
        <n v="2400.0"/>
        <n v="23400.0"/>
        <n v="44400.0"/>
        <n v="20000.0"/>
        <n v="154000.0"/>
        <n v="84000.0"/>
        <n v="180000.0"/>
        <n v="88000.0"/>
        <n v="-55000.0"/>
        <n v="22100.0"/>
        <n v="135000.0"/>
        <n v="60500.0"/>
        <n v="230000.0"/>
        <n v="37000.0"/>
        <n v="270000.0"/>
        <n v="90000.0"/>
        <n v="24000.0"/>
        <n v="19200.0"/>
        <n v="137500.0"/>
        <n v="31500.0"/>
        <n v="11700.0"/>
        <n v="37500.0"/>
        <n v="26000.0"/>
        <n v="275000.0"/>
        <n v="15000.0"/>
        <n v="38400.0"/>
        <n v="6000.0"/>
        <n v="29900.0"/>
        <n v="9600.0"/>
        <n v="210000.0"/>
        <n v="114000.0"/>
        <n v="66000.0"/>
        <n v="7500.0"/>
        <n v="128000.0"/>
        <n v="60000.0"/>
        <n v="104500.0"/>
        <n v="120000.0"/>
        <n v="345000.0"/>
        <n v="13000.0"/>
        <n v="74000.0"/>
        <n v="105000.0"/>
        <n v="16800.0"/>
        <n v="3700.0"/>
        <n v="55000.0"/>
        <n v="19500.0"/>
        <n v="2100.0"/>
        <n v="240000.0"/>
        <n v="26400.0"/>
        <n v="77700.0"/>
        <n v="59200.0"/>
        <n v="8000.0"/>
        <n v="25900.0"/>
        <n v="88800.0"/>
        <n v="75000.0"/>
        <n v="20800.0"/>
        <n v="51800.0"/>
        <n v="14400.0"/>
        <n v="10500.0"/>
        <n v="92500.0"/>
        <n v="78000.0"/>
        <n v="72000.0"/>
        <n v="27500.0"/>
        <n v="140000.0"/>
        <n v="1300.0"/>
        <n v="36000.0"/>
        <n v="285000.0"/>
        <n v="6300.0"/>
        <n v="220000.0"/>
        <n v="9100.0"/>
        <n v="11100.0"/>
        <n v="6500.0"/>
        <n v="165000.0"/>
        <n v="32000.0"/>
        <n v="150000.0"/>
        <n v="7800.0"/>
        <n v="22200.0"/>
        <n v="14300.0"/>
        <n v="38500.0"/>
        <n v="200000.0"/>
      </sharedItems>
    </cacheField>
    <cacheField name="Comision" numFmtId="0">
      <sharedItems containsSemiMixedTypes="0" containsString="0" containsNumber="1" containsInteger="1">
        <n v="1360.0"/>
        <n v="2560.0"/>
        <n v="6900.0"/>
        <n v="1900.0"/>
        <n v="900.0"/>
        <n v="3312.0"/>
        <n v="16800.0"/>
        <n v="9440.0"/>
        <n v="3080.0"/>
        <n v="1488.0"/>
        <n v="25960.0"/>
        <n v="17280.0"/>
        <n v="1248.0"/>
        <n v="1116.0"/>
        <n v="186.0"/>
        <n v="4200.0"/>
        <n v="1672.0"/>
        <n v="14000.0"/>
        <n v="21760.0"/>
        <n v="744.0"/>
        <n v="300.0"/>
        <n v="2800.0"/>
        <n v="2400.0"/>
        <n v="23600.0"/>
        <n v="2210.0"/>
        <n v="1170.0"/>
        <n v="740.0"/>
        <n v="12390.0"/>
        <n v="1736.0"/>
        <n v="5600.0"/>
        <n v="8100.0"/>
        <n v="3360.0"/>
        <n v="600.0"/>
        <n v="1064.0"/>
        <n v="8960.0"/>
        <n v="17920.0"/>
        <n v="340.0"/>
        <n v="29440.0"/>
        <n v="28000.0"/>
        <n v="30090.0"/>
        <n v="7920.0"/>
        <n v="2728.0"/>
        <n v="3510.0"/>
        <n v="20480.0"/>
        <n v="124.0"/>
        <n v="1368.0"/>
        <n v="2208.0"/>
        <n v="2240.0"/>
        <n v="19600.0"/>
        <n v="5180.0"/>
        <n v="9360.0"/>
        <n v="11200.0"/>
        <n v="1280.0"/>
        <n v="1054.0"/>
        <n v="24300.0"/>
        <n v="3300.0"/>
        <n v="25760.0"/>
        <n v="912.0"/>
        <n v="1840.0"/>
        <n v="32400.0"/>
        <n v="5550.0"/>
        <n v="3840.0"/>
        <n v="1240.0"/>
        <n v="992.0"/>
        <n v="1200.0"/>
        <n v="8400.0"/>
        <n v="7500.0"/>
        <n v="1440.0"/>
        <n v="684.0"/>
        <n v="1950.0"/>
        <n v="8880.0"/>
        <n v="1612.0"/>
        <n v="1850.0"/>
        <n v="48000.0"/>
        <n v="780.0"/>
        <n v="1984.0"/>
        <n v="6000.0"/>
        <n v="370.0"/>
        <n v="1748.0"/>
        <n v="496.0"/>
        <n v="35280.0"/>
        <n v="10080.0"/>
        <n v="16200.0"/>
        <n v="7030.0"/>
        <n v="3600.0"/>
        <n v="390.0"/>
        <n v="7040.0"/>
        <n v="3700.0"/>
        <n v="4680.0"/>
        <n v="1824.0"/>
        <n v="5700.0"/>
        <n v="13440.0"/>
        <n v="62100.0"/>
        <n v="620.0"/>
        <n v="3680.0"/>
        <n v="5460.0"/>
        <n v="868.0"/>
        <n v="170.0"/>
        <n v="6400.0"/>
        <n v="930.0"/>
        <n v="96.0"/>
        <n v="1140.0"/>
        <n v="28800.0"/>
        <n v="1536.0"/>
        <n v="1364.0"/>
        <n v="9680.0"/>
        <n v="3570.0"/>
        <n v="2944.0"/>
        <n v="5400.0"/>
        <n v="6240.0"/>
        <n v="10500.0"/>
        <n v="440.0"/>
        <n v="1288.0"/>
        <n v="4416.0"/>
        <n v="9000.0"/>
        <n v="12320.0"/>
        <n v="1216.0"/>
        <n v="10800.0"/>
        <n v="2380.0"/>
        <n v="480.0"/>
        <n v="1700.0"/>
        <n v="768.0"/>
        <n v="3900.0"/>
        <n v="4600.0"/>
        <n v="37800.0"/>
        <n v="4810.0"/>
        <n v="4440.0"/>
        <n v="8800.0"/>
        <n v="1500.0"/>
        <n v="20160.0"/>
        <n v="15680.0"/>
        <n v="1480.0"/>
        <n v="76.0"/>
        <n v="2220.0"/>
        <n v="34200.0"/>
        <n v="288.0"/>
        <n v="25600.0"/>
        <n v="5120.0"/>
        <n v="532.0"/>
        <n v="510.0"/>
        <n v="380.0"/>
        <n v="8580.0"/>
        <n v="1760.0"/>
        <n v="9250.0"/>
        <n v="372.0"/>
        <n v="4840.0"/>
        <n v="9800.0"/>
        <n v="20060.0"/>
        <n v="1104.0"/>
        <n v="682.0"/>
        <n v="14400.0"/>
        <n v="4250.0"/>
        <n v="2100.0"/>
        <n v="224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Dashoboard_Ejecutivo" cacheId="0" dataCaption="" compact="0" compactData="0">
  <location ref="A2:B7" firstHeaderRow="0" firstDataRow="1" firstDataCol="0"/>
  <pivotFields>
    <pivotField name="CIUDAD " axis="axisRow" compact="0" outline="0" multipleItemSelectionAllowed="1" showAll="0" sortType="ascending">
      <items>
        <item x="0"/>
        <item x="3"/>
        <item x="1"/>
        <item x="2"/>
        <item t="default"/>
      </items>
    </pivotField>
    <pivotField name="TOTAL_VENTAS " dataField="1" compact="0" outline="0" multipleItemSelectionAllowed="1" showAll="0">
      <items>
        <item x="0"/>
        <item x="1"/>
        <item x="2"/>
        <item x="3"/>
        <item t="default"/>
      </items>
    </pivotField>
  </pivotFields>
  <rowFields>
    <field x="0"/>
  </rowFields>
  <dataFields>
    <dataField name="SUM of TOTAL_VENTAS " fld="1" baseField="0"/>
  </dataFields>
</pivotTableDefinition>
</file>

<file path=xl/pivotTables/pivotTable2.xml><?xml version="1.0" encoding="utf-8"?>
<pivotTableDefinition xmlns="http://schemas.openxmlformats.org/spreadsheetml/2006/main" name="Dashoboard_Ejecutivo 2" cacheId="1" dataCaption="" compact="0" compactData="0">
  <location ref="F7:G12" firstHeaderRow="0" firstDataRow="1" firstDataCol="0"/>
  <pivotFields>
    <pivotField name="ID_Transac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Largo_ID" compact="0" outline="0" multipleItemSelectionAllowed="1" showAll="0">
      <items>
        <item x="0"/>
        <item t="default"/>
      </items>
    </pivotField>
    <pivotField name="Fech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Sucursal" compact="0" outline="0" multipleItemSelectionAllowed="1" showAll="0">
      <items>
        <item x="0"/>
        <item x="1"/>
        <item x="2"/>
        <item x="3"/>
        <item t="default"/>
      </items>
    </pivotField>
    <pivotField name="Vendedor" compact="0" outline="0" multipleItemSelectionAllowed="1" showAll="0">
      <items>
        <item x="0"/>
        <item x="1"/>
        <item x="2"/>
        <item x="3"/>
        <item t="default"/>
      </items>
    </pivotField>
    <pivotField name="Produc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ntida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Preci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osto_Unita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Sucursal_Limpia" compact="0" outline="0" multipleItemSelectionAllowed="1" showAll="0">
      <items>
        <item x="0"/>
        <item x="1"/>
        <item x="2"/>
        <item x="3"/>
        <item t="default"/>
      </items>
    </pivotField>
    <pivotField name="Cantidad_Auditad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Vendedor_Limpio" compact="0" outline="0" multipleItemSelectionAllowed="1" showAll="0">
      <items>
        <item x="0"/>
        <item x="1"/>
        <item x="2"/>
        <item x="3"/>
        <item t="default"/>
      </items>
    </pivotField>
    <pivotField name="Producto_Limp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roveedor_oficial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ia_oficial" axis="axisRow" compact="0" outline="0" multipleItemSelectionAllowed="1" showAll="0" sortType="ascending">
      <items>
        <item x="2"/>
        <item x="0"/>
        <item x="3"/>
        <item x="1"/>
        <item t="default"/>
      </items>
    </pivotField>
    <pivotField name="Total_Venta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Total_Cos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Ganancia_Ne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t="default"/>
      </items>
    </pivotField>
    <pivotField name="Comi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</pivotFields>
  <rowFields>
    <field x="14"/>
  </rowFields>
  <dataFields>
    <dataField name="SUM of Total_Venta" fld="15" baseField="0"/>
  </dataFields>
</pivotTableDefinition>
</file>

<file path=xl/tables/table1.xml><?xml version="1.0" encoding="utf-8"?>
<table xmlns="http://schemas.openxmlformats.org/spreadsheetml/2006/main" ref="A1:H201" displayName="Tabla_3" name="Tabla_3" id="1">
  <tableColumns count="8">
    <tableColumn name="ID_Transaccion" id="1"/>
    <tableColumn name="Fecha" id="2"/>
    <tableColumn name="Sucursal" id="3"/>
    <tableColumn name="Vendedor" id="4"/>
    <tableColumn name="Producto" id="5"/>
    <tableColumn name="Cantidad" id="6"/>
    <tableColumn name="Precio_Unitario" id="7"/>
    <tableColumn name="Costo_Unitario" id="8"/>
  </tableColumns>
  <tableStyleInfo name="Ventas_raw_200-style" showColumnStripes="0" showFirstColumn="1" showLastColumn="1" showRowStripes="1"/>
</table>
</file>

<file path=xl/tables/table2.xml><?xml version="1.0" encoding="utf-8"?>
<table xmlns="http://schemas.openxmlformats.org/spreadsheetml/2006/main" ref="A1:S201" displayName="Tabla_1" name="Tabla_1" id="2">
  <tableColumns count="19">
    <tableColumn name="ID_Transaccion" id="1"/>
    <tableColumn name="Largo_ID" id="2"/>
    <tableColumn name="Fecha" id="3"/>
    <tableColumn name="Sucursal" id="4"/>
    <tableColumn name="Vendedor" id="5"/>
    <tableColumn name="Producto" id="6"/>
    <tableColumn name="Cantidad" id="7"/>
    <tableColumn name="Precio_Unitario" id="8"/>
    <tableColumn name="Costo_Unitario" id="9"/>
    <tableColumn name="Sucursal_Limpia" id="10"/>
    <tableColumn name="Cantidad_Auditada" id="11"/>
    <tableColumn name="Vendedor_Limpio" id="12"/>
    <tableColumn name="Producto_Limpio" id="13"/>
    <tableColumn name="Proveedor_oficial" id="14"/>
    <tableColumn name="Categoria_oficial" id="15"/>
    <tableColumn name="Total_Venta" id="16"/>
    <tableColumn name="Total_Costo" id="17"/>
    <tableColumn name="Ganancia_Neta" id="18"/>
    <tableColumn name="Comision" id="19"/>
  </tableColumns>
  <tableStyleInfo name="Tabla_Solucion-style" showColumnStripes="0" showFirstColumn="1" showLastColumn="1" showRowStripes="1"/>
</table>
</file>

<file path=xl/tables/table3.xml><?xml version="1.0" encoding="utf-8"?>
<table xmlns="http://schemas.openxmlformats.org/spreadsheetml/2006/main" ref="A1:B5" displayName="Tabla_2" name="Tabla_2" id="3">
  <tableColumns count="2">
    <tableColumn name="CIUDAD " id="1"/>
    <tableColumn name="TOTAL_VENTAS " id="2"/>
  </tableColumns>
  <tableStyleInfo name="Reporte_Consolid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13.25"/>
    <col customWidth="1" min="3" max="3" width="15.63"/>
    <col customWidth="1" min="4" max="4" width="17.75"/>
    <col customWidth="1" min="5" max="5" width="25.88"/>
    <col customWidth="1" min="6" max="6" width="15.38"/>
    <col customWidth="1" min="7" max="7" width="20.0"/>
    <col customWidth="1" min="8" max="8" width="19.63"/>
  </cols>
  <sheetData>
    <row r="1" ht="22.5" customHeight="1">
      <c r="A1" s="3" t="s">
        <v>74</v>
      </c>
      <c r="B1" s="3" t="s">
        <v>75</v>
      </c>
      <c r="C1" s="3" t="s">
        <v>77</v>
      </c>
      <c r="D1" s="3" t="s">
        <v>78</v>
      </c>
      <c r="E1" s="3" t="s">
        <v>1</v>
      </c>
      <c r="F1" s="3" t="s">
        <v>79</v>
      </c>
      <c r="G1" s="3" t="s">
        <v>80</v>
      </c>
      <c r="H1" s="3" t="s">
        <v>81</v>
      </c>
    </row>
    <row r="2" ht="22.5" customHeight="1">
      <c r="A2" s="5" t="s">
        <v>84</v>
      </c>
      <c r="B2" s="6">
        <v>46111.0</v>
      </c>
      <c r="C2" s="5" t="s">
        <v>88</v>
      </c>
      <c r="D2" s="5" t="s">
        <v>90</v>
      </c>
      <c r="E2" s="7" t="s">
        <v>92</v>
      </c>
      <c r="F2" s="8">
        <v>8.0</v>
      </c>
      <c r="G2" s="8">
        <v>8500.0</v>
      </c>
      <c r="H2" s="8">
        <v>4800.0</v>
      </c>
    </row>
    <row r="3" ht="22.5" customHeight="1">
      <c r="A3" s="5" t="s">
        <v>98</v>
      </c>
      <c r="B3" s="6">
        <v>46106.0</v>
      </c>
      <c r="C3" s="5" t="s">
        <v>99</v>
      </c>
      <c r="D3" s="5" t="s">
        <v>100</v>
      </c>
      <c r="E3" s="7" t="s">
        <v>101</v>
      </c>
      <c r="F3" s="8">
        <v>2.0</v>
      </c>
      <c r="G3" s="8">
        <v>32000.0</v>
      </c>
      <c r="H3" s="8">
        <v>21000.0</v>
      </c>
    </row>
    <row r="4" ht="22.5" customHeight="1">
      <c r="A4" s="5" t="s">
        <v>104</v>
      </c>
      <c r="B4" s="6">
        <v>46082.0</v>
      </c>
      <c r="C4" s="5" t="s">
        <v>99</v>
      </c>
      <c r="D4" s="5" t="s">
        <v>100</v>
      </c>
      <c r="E4" s="7" t="s">
        <v>60</v>
      </c>
      <c r="F4" s="8">
        <v>23.0</v>
      </c>
      <c r="G4" s="8">
        <v>15000.0</v>
      </c>
      <c r="H4" s="8">
        <v>9500.0</v>
      </c>
    </row>
    <row r="5" ht="22.5" customHeight="1">
      <c r="A5" s="5" t="s">
        <v>105</v>
      </c>
      <c r="B5" s="6">
        <v>46107.0</v>
      </c>
      <c r="C5" s="5" t="s">
        <v>102</v>
      </c>
      <c r="D5" s="5" t="s">
        <v>106</v>
      </c>
      <c r="E5" s="7" t="s">
        <v>7</v>
      </c>
      <c r="F5" s="8">
        <v>25.0</v>
      </c>
      <c r="G5" s="8">
        <v>3800.0</v>
      </c>
      <c r="H5" s="8">
        <v>2500.0</v>
      </c>
    </row>
    <row r="6" ht="22.5" customHeight="1">
      <c r="A6" s="5" t="s">
        <v>107</v>
      </c>
      <c r="B6" s="6">
        <v>46102.0</v>
      </c>
      <c r="C6" s="5" t="s">
        <v>108</v>
      </c>
      <c r="D6" s="5" t="s">
        <v>106</v>
      </c>
      <c r="E6" s="7" t="s">
        <v>60</v>
      </c>
      <c r="F6" s="8">
        <v>3.0</v>
      </c>
      <c r="G6" s="8">
        <v>15000.0</v>
      </c>
      <c r="H6" s="8">
        <v>9500.0</v>
      </c>
    </row>
    <row r="7" ht="22.5" customHeight="1">
      <c r="A7" s="5" t="s">
        <v>109</v>
      </c>
      <c r="B7" s="6">
        <v>46051.0</v>
      </c>
      <c r="C7" s="5" t="s">
        <v>103</v>
      </c>
      <c r="D7" s="5" t="s">
        <v>100</v>
      </c>
      <c r="E7" s="7" t="s">
        <v>110</v>
      </c>
      <c r="F7" s="8">
        <v>18.0</v>
      </c>
      <c r="G7" s="8">
        <v>9200.0</v>
      </c>
      <c r="H7" s="8">
        <v>5500.0</v>
      </c>
    </row>
    <row r="8" ht="22.5" customHeight="1">
      <c r="A8" s="5" t="s">
        <v>111</v>
      </c>
      <c r="B8" s="6">
        <v>46025.0</v>
      </c>
      <c r="C8" s="5" t="s">
        <v>102</v>
      </c>
      <c r="D8" s="5" t="s">
        <v>106</v>
      </c>
      <c r="E8" s="7" t="s">
        <v>13</v>
      </c>
      <c r="F8" s="8">
        <v>12.0</v>
      </c>
      <c r="G8" s="8">
        <v>35000.0</v>
      </c>
      <c r="H8" s="8">
        <v>24000.0</v>
      </c>
    </row>
    <row r="9" ht="22.5" customHeight="1">
      <c r="A9" s="5" t="s">
        <v>112</v>
      </c>
      <c r="B9" s="6">
        <v>46050.0</v>
      </c>
      <c r="C9" s="5" t="s">
        <v>103</v>
      </c>
      <c r="D9" s="5" t="s">
        <v>113</v>
      </c>
      <c r="E9" s="7" t="s">
        <v>38</v>
      </c>
      <c r="F9" s="8">
        <v>8.0</v>
      </c>
      <c r="G9" s="8">
        <v>29500.0</v>
      </c>
      <c r="H9" s="8">
        <v>20000.0</v>
      </c>
    </row>
    <row r="10" ht="22.5" customHeight="1">
      <c r="A10" s="5" t="s">
        <v>114</v>
      </c>
      <c r="B10" s="6">
        <v>46111.0</v>
      </c>
      <c r="C10" s="5" t="s">
        <v>102</v>
      </c>
      <c r="D10" s="5" t="s">
        <v>115</v>
      </c>
      <c r="E10" s="7" t="s">
        <v>71</v>
      </c>
      <c r="F10" s="8">
        <v>7.0</v>
      </c>
      <c r="G10" s="8">
        <v>22000.0</v>
      </c>
      <c r="H10" s="8">
        <v>14000.0</v>
      </c>
    </row>
    <row r="11" ht="22.5" customHeight="1">
      <c r="A11" s="5" t="s">
        <v>116</v>
      </c>
      <c r="B11" s="6">
        <v>46076.0</v>
      </c>
      <c r="C11" s="5" t="s">
        <v>99</v>
      </c>
      <c r="D11" s="5" t="s">
        <v>90</v>
      </c>
      <c r="E11" s="7" t="s">
        <v>67</v>
      </c>
      <c r="F11" s="8">
        <v>24.0</v>
      </c>
      <c r="G11" s="8">
        <v>3100.0</v>
      </c>
      <c r="H11" s="8">
        <v>1800.0</v>
      </c>
    </row>
    <row r="12" ht="22.5" customHeight="1">
      <c r="A12" s="5" t="s">
        <v>117</v>
      </c>
      <c r="B12" s="6">
        <v>46024.0</v>
      </c>
      <c r="C12" s="5" t="s">
        <v>118</v>
      </c>
      <c r="D12" s="5" t="s">
        <v>90</v>
      </c>
      <c r="E12" s="7" t="s">
        <v>38</v>
      </c>
      <c r="F12" s="8">
        <v>22.0</v>
      </c>
      <c r="G12" s="8">
        <v>29500.0</v>
      </c>
      <c r="H12" s="8">
        <v>20000.0</v>
      </c>
    </row>
    <row r="13" ht="22.5" customHeight="1">
      <c r="A13" s="5" t="s">
        <v>119</v>
      </c>
      <c r="B13" s="6">
        <v>46099.0</v>
      </c>
      <c r="C13" s="5" t="s">
        <v>88</v>
      </c>
      <c r="D13" s="5" t="s">
        <v>106</v>
      </c>
      <c r="E13" s="7" t="s">
        <v>101</v>
      </c>
      <c r="F13" s="8">
        <v>9.0</v>
      </c>
      <c r="G13" s="8">
        <v>32000.0</v>
      </c>
      <c r="H13" s="8">
        <v>21000.0</v>
      </c>
    </row>
    <row r="14" ht="22.5" customHeight="1">
      <c r="A14" s="5" t="s">
        <v>120</v>
      </c>
      <c r="B14" s="6">
        <v>46084.0</v>
      </c>
      <c r="C14" s="5" t="s">
        <v>102</v>
      </c>
      <c r="D14" s="5" t="s">
        <v>115</v>
      </c>
      <c r="E14" s="7" t="s">
        <v>34</v>
      </c>
      <c r="F14" s="8">
        <v>13.0</v>
      </c>
      <c r="G14" s="8">
        <v>4800.0</v>
      </c>
      <c r="H14" s="8">
        <v>2700.0</v>
      </c>
    </row>
    <row r="15" ht="22.5" customHeight="1">
      <c r="A15" s="5" t="s">
        <v>121</v>
      </c>
      <c r="B15" s="6">
        <v>46026.0</v>
      </c>
      <c r="C15" s="5" t="s">
        <v>108</v>
      </c>
      <c r="D15" s="5" t="s">
        <v>90</v>
      </c>
      <c r="E15" s="7" t="s">
        <v>64</v>
      </c>
      <c r="F15" s="8">
        <v>9.0</v>
      </c>
      <c r="G15" s="8">
        <v>6200.0</v>
      </c>
      <c r="H15" s="8">
        <v>3800.0</v>
      </c>
    </row>
    <row r="16" ht="22.5" customHeight="1">
      <c r="A16" s="5" t="s">
        <v>122</v>
      </c>
      <c r="B16" s="6">
        <v>46086.0</v>
      </c>
      <c r="C16" s="5" t="s">
        <v>108</v>
      </c>
      <c r="D16" s="5" t="s">
        <v>115</v>
      </c>
      <c r="E16" s="7" t="s">
        <v>67</v>
      </c>
      <c r="F16" s="8">
        <v>3.0</v>
      </c>
      <c r="G16" s="8">
        <v>3100.0</v>
      </c>
      <c r="H16" s="8">
        <v>1800.0</v>
      </c>
    </row>
    <row r="17" ht="22.5" customHeight="1">
      <c r="A17" s="5" t="s">
        <v>123</v>
      </c>
      <c r="B17" s="6">
        <v>46094.0</v>
      </c>
      <c r="C17" s="5" t="s">
        <v>103</v>
      </c>
      <c r="D17" s="5" t="s">
        <v>90</v>
      </c>
      <c r="E17" s="7" t="s">
        <v>13</v>
      </c>
      <c r="F17" s="8">
        <v>3.0</v>
      </c>
      <c r="G17" s="8">
        <v>35000.0</v>
      </c>
      <c r="H17" s="8">
        <v>24000.0</v>
      </c>
    </row>
    <row r="18" ht="22.5" customHeight="1">
      <c r="A18" s="5" t="s">
        <v>124</v>
      </c>
      <c r="B18" s="6">
        <v>46112.0</v>
      </c>
      <c r="C18" s="5" t="s">
        <v>99</v>
      </c>
      <c r="D18" s="5" t="s">
        <v>106</v>
      </c>
      <c r="E18" s="7" t="s">
        <v>7</v>
      </c>
      <c r="F18" s="8">
        <v>22.0</v>
      </c>
      <c r="G18" s="8">
        <v>3800.0</v>
      </c>
      <c r="H18" s="8">
        <v>2500.0</v>
      </c>
    </row>
    <row r="19" ht="22.5" customHeight="1">
      <c r="A19" s="5" t="s">
        <v>125</v>
      </c>
      <c r="B19" s="6">
        <v>46031.0</v>
      </c>
      <c r="C19" s="5" t="s">
        <v>103</v>
      </c>
      <c r="D19" s="5" t="s">
        <v>90</v>
      </c>
      <c r="E19" s="7" t="s">
        <v>13</v>
      </c>
      <c r="F19" s="8">
        <v>10.0</v>
      </c>
      <c r="G19" s="8">
        <v>35000.0</v>
      </c>
      <c r="H19" s="8">
        <v>24000.0</v>
      </c>
    </row>
    <row r="20" ht="22.5" customHeight="1">
      <c r="A20" s="5" t="s">
        <v>126</v>
      </c>
      <c r="B20" s="6">
        <v>46056.0</v>
      </c>
      <c r="C20" s="5" t="s">
        <v>102</v>
      </c>
      <c r="D20" s="5" t="s">
        <v>127</v>
      </c>
      <c r="E20" s="7" t="s">
        <v>56</v>
      </c>
      <c r="F20" s="8">
        <v>17.0</v>
      </c>
      <c r="G20" s="8">
        <v>32000.0</v>
      </c>
      <c r="H20" s="8">
        <v>21000.0</v>
      </c>
    </row>
    <row r="21" ht="22.5" customHeight="1">
      <c r="A21" s="5" t="s">
        <v>128</v>
      </c>
      <c r="B21" s="6">
        <v>46061.0</v>
      </c>
      <c r="C21" s="5" t="s">
        <v>99</v>
      </c>
      <c r="D21" s="5" t="s">
        <v>127</v>
      </c>
      <c r="E21" s="7" t="s">
        <v>67</v>
      </c>
      <c r="F21" s="8">
        <v>12.0</v>
      </c>
      <c r="G21" s="8">
        <v>3100.0</v>
      </c>
      <c r="H21" s="8">
        <v>1800.0</v>
      </c>
    </row>
    <row r="22" ht="22.5" customHeight="1">
      <c r="A22" s="5" t="s">
        <v>129</v>
      </c>
      <c r="B22" s="6">
        <v>46048.0</v>
      </c>
      <c r="C22" s="5" t="s">
        <v>88</v>
      </c>
      <c r="D22" s="5" t="s">
        <v>127</v>
      </c>
      <c r="E22" s="7" t="s">
        <v>130</v>
      </c>
      <c r="F22" s="8">
        <v>1.0</v>
      </c>
      <c r="G22" s="8">
        <v>15000.0</v>
      </c>
      <c r="H22" s="8">
        <v>9500.0</v>
      </c>
    </row>
    <row r="23" ht="22.5" customHeight="1">
      <c r="A23" s="5" t="s">
        <v>131</v>
      </c>
      <c r="B23" s="6">
        <v>46082.0</v>
      </c>
      <c r="C23" s="5" t="s">
        <v>103</v>
      </c>
      <c r="D23" s="5" t="s">
        <v>106</v>
      </c>
      <c r="E23" s="7" t="s">
        <v>13</v>
      </c>
      <c r="F23" s="8">
        <v>2.0</v>
      </c>
      <c r="G23" s="8">
        <v>35000.0</v>
      </c>
      <c r="H23" s="8">
        <v>24000.0</v>
      </c>
    </row>
    <row r="24" ht="22.5" customHeight="1">
      <c r="A24" s="5" t="s">
        <v>132</v>
      </c>
      <c r="B24" s="6">
        <v>46050.0</v>
      </c>
      <c r="C24" s="5" t="s">
        <v>133</v>
      </c>
      <c r="D24" s="5" t="s">
        <v>106</v>
      </c>
      <c r="E24" s="7" t="s">
        <v>34</v>
      </c>
      <c r="F24" s="8">
        <v>25.0</v>
      </c>
      <c r="G24" s="8">
        <v>4800.0</v>
      </c>
      <c r="H24" s="8">
        <v>2700.0</v>
      </c>
    </row>
    <row r="25" ht="22.5" customHeight="1">
      <c r="A25" s="5" t="s">
        <v>134</v>
      </c>
      <c r="B25" s="6">
        <v>46036.0</v>
      </c>
      <c r="C25" s="5" t="s">
        <v>99</v>
      </c>
      <c r="D25" s="5" t="s">
        <v>115</v>
      </c>
      <c r="E25" s="7" t="s">
        <v>38</v>
      </c>
      <c r="F25" s="8">
        <v>20.0</v>
      </c>
      <c r="G25" s="8">
        <v>29500.0</v>
      </c>
      <c r="H25" s="8">
        <v>20000.0</v>
      </c>
    </row>
    <row r="26" ht="22.5" customHeight="1">
      <c r="A26" s="5" t="s">
        <v>135</v>
      </c>
      <c r="B26" s="6">
        <v>46057.0</v>
      </c>
      <c r="C26" s="5" t="s">
        <v>118</v>
      </c>
      <c r="D26" s="5" t="s">
        <v>115</v>
      </c>
      <c r="E26" s="7" t="s">
        <v>51</v>
      </c>
      <c r="F26" s="8">
        <v>13.0</v>
      </c>
      <c r="G26" s="8">
        <v>8500.0</v>
      </c>
      <c r="H26" s="8">
        <v>4800.0</v>
      </c>
    </row>
    <row r="27" ht="22.5" customHeight="1">
      <c r="A27" s="5" t="s">
        <v>136</v>
      </c>
      <c r="B27" s="6">
        <v>46066.0</v>
      </c>
      <c r="C27" s="5" t="s">
        <v>133</v>
      </c>
      <c r="D27" s="5" t="s">
        <v>100</v>
      </c>
      <c r="E27" s="7" t="s">
        <v>25</v>
      </c>
      <c r="F27" s="8">
        <v>3.0</v>
      </c>
      <c r="G27" s="8">
        <v>19500.0</v>
      </c>
      <c r="H27" s="8">
        <v>12000.0</v>
      </c>
    </row>
    <row r="28" ht="22.5" customHeight="1">
      <c r="A28" s="5" t="s">
        <v>137</v>
      </c>
      <c r="B28" s="6">
        <v>46109.0</v>
      </c>
      <c r="C28" s="5" t="s">
        <v>88</v>
      </c>
      <c r="D28" s="5" t="s">
        <v>100</v>
      </c>
      <c r="E28" s="7" t="s">
        <v>46</v>
      </c>
      <c r="F28" s="8">
        <v>2.0</v>
      </c>
      <c r="G28" s="8">
        <v>18500.0</v>
      </c>
      <c r="H28" s="8">
        <v>12500.0</v>
      </c>
    </row>
    <row r="29" ht="22.5" customHeight="1">
      <c r="A29" s="5" t="s">
        <v>138</v>
      </c>
      <c r="B29" s="6">
        <v>46073.0</v>
      </c>
      <c r="C29" s="5" t="s">
        <v>108</v>
      </c>
      <c r="D29" s="5" t="s">
        <v>113</v>
      </c>
      <c r="E29" s="7" t="s">
        <v>38</v>
      </c>
      <c r="F29" s="8">
        <v>7.0</v>
      </c>
      <c r="G29" s="8">
        <v>29500.0</v>
      </c>
      <c r="H29" s="8">
        <v>20000.0</v>
      </c>
    </row>
    <row r="30" ht="22.5" customHeight="1">
      <c r="A30" s="5" t="s">
        <v>139</v>
      </c>
      <c r="B30" s="6">
        <v>46030.0</v>
      </c>
      <c r="C30" s="5" t="s">
        <v>108</v>
      </c>
      <c r="D30" s="5" t="s">
        <v>106</v>
      </c>
      <c r="E30" s="7" t="s">
        <v>64</v>
      </c>
      <c r="F30" s="8">
        <v>14.0</v>
      </c>
      <c r="G30" s="8">
        <v>6200.0</v>
      </c>
      <c r="H30" s="8">
        <v>3800.0</v>
      </c>
    </row>
    <row r="31" ht="22.5" customHeight="1">
      <c r="A31" s="5" t="s">
        <v>140</v>
      </c>
      <c r="B31" s="6">
        <v>46044.0</v>
      </c>
      <c r="C31" s="5" t="s">
        <v>133</v>
      </c>
      <c r="D31" s="5" t="s">
        <v>141</v>
      </c>
      <c r="E31" s="7" t="s">
        <v>13</v>
      </c>
      <c r="F31" s="8">
        <v>2.0</v>
      </c>
      <c r="G31" s="8">
        <v>35000.0</v>
      </c>
      <c r="H31" s="8">
        <v>24000.0</v>
      </c>
    </row>
    <row r="32" ht="22.5" customHeight="1">
      <c r="A32" s="5" t="s">
        <v>142</v>
      </c>
      <c r="B32" s="6">
        <v>46027.0</v>
      </c>
      <c r="C32" s="5" t="s">
        <v>118</v>
      </c>
      <c r="D32" s="5" t="s">
        <v>113</v>
      </c>
      <c r="E32" s="7" t="s">
        <v>13</v>
      </c>
      <c r="F32" s="8">
        <v>4.0</v>
      </c>
      <c r="G32" s="8">
        <v>35000.0</v>
      </c>
      <c r="H32" s="8">
        <v>24000.0</v>
      </c>
    </row>
    <row r="33" ht="22.5" customHeight="1">
      <c r="A33" s="5" t="s">
        <v>143</v>
      </c>
      <c r="B33" s="6">
        <v>46031.0</v>
      </c>
      <c r="C33" s="5" t="s">
        <v>108</v>
      </c>
      <c r="D33" s="5" t="s">
        <v>113</v>
      </c>
      <c r="E33" s="7" t="s">
        <v>42</v>
      </c>
      <c r="F33" s="8">
        <v>3.0</v>
      </c>
      <c r="G33" s="8">
        <v>45000.0</v>
      </c>
      <c r="H33" s="8">
        <v>30000.0</v>
      </c>
    </row>
    <row r="34" ht="22.5" customHeight="1">
      <c r="A34" s="5" t="s">
        <v>144</v>
      </c>
      <c r="B34" s="6">
        <v>46029.0</v>
      </c>
      <c r="C34" s="5" t="s">
        <v>118</v>
      </c>
      <c r="D34" s="5" t="s">
        <v>127</v>
      </c>
      <c r="E34" s="7" t="s">
        <v>19</v>
      </c>
      <c r="F34" s="8">
        <v>3.0</v>
      </c>
      <c r="G34" s="8">
        <v>28000.0</v>
      </c>
      <c r="H34" s="8">
        <v>18000.0</v>
      </c>
    </row>
    <row r="35" ht="22.5" customHeight="1">
      <c r="A35" s="5" t="s">
        <v>145</v>
      </c>
      <c r="B35" s="6">
        <v>46087.0</v>
      </c>
      <c r="C35" s="5" t="s">
        <v>133</v>
      </c>
      <c r="D35" s="5" t="s">
        <v>115</v>
      </c>
      <c r="E35" s="7" t="s">
        <v>60</v>
      </c>
      <c r="F35" s="8">
        <v>2.0</v>
      </c>
      <c r="G35" s="8">
        <v>15000.0</v>
      </c>
      <c r="H35" s="8">
        <v>9500.0</v>
      </c>
    </row>
    <row r="36" ht="22.5" customHeight="1">
      <c r="A36" s="5" t="s">
        <v>146</v>
      </c>
      <c r="B36" s="6">
        <v>46037.0</v>
      </c>
      <c r="C36" s="5" t="s">
        <v>103</v>
      </c>
      <c r="D36" s="5" t="s">
        <v>106</v>
      </c>
      <c r="E36" s="7" t="s">
        <v>7</v>
      </c>
      <c r="F36" s="8">
        <v>14.0</v>
      </c>
      <c r="G36" s="8">
        <v>3800.0</v>
      </c>
      <c r="H36" s="8">
        <v>2500.0</v>
      </c>
    </row>
    <row r="37" ht="22.5" customHeight="1">
      <c r="A37" s="5" t="s">
        <v>147</v>
      </c>
      <c r="B37" s="6">
        <v>46036.0</v>
      </c>
      <c r="C37" s="5" t="s">
        <v>133</v>
      </c>
      <c r="D37" s="5" t="s">
        <v>115</v>
      </c>
      <c r="E37" s="7" t="s">
        <v>56</v>
      </c>
      <c r="F37" s="8">
        <v>7.0</v>
      </c>
      <c r="G37" s="8">
        <v>32000.0</v>
      </c>
      <c r="H37" s="8">
        <v>21000.0</v>
      </c>
    </row>
    <row r="38" ht="22.5" customHeight="1">
      <c r="A38" s="5" t="s">
        <v>148</v>
      </c>
      <c r="B38" s="6">
        <v>46025.0</v>
      </c>
      <c r="C38" s="5" t="s">
        <v>102</v>
      </c>
      <c r="D38" s="5" t="s">
        <v>100</v>
      </c>
      <c r="E38" s="7" t="s">
        <v>19</v>
      </c>
      <c r="F38" s="8">
        <v>16.0</v>
      </c>
      <c r="G38" s="8">
        <v>28000.0</v>
      </c>
      <c r="H38" s="8">
        <v>18000.0</v>
      </c>
    </row>
    <row r="39" ht="22.5" customHeight="1">
      <c r="A39" s="5" t="s">
        <v>149</v>
      </c>
      <c r="B39" s="6">
        <v>46069.0</v>
      </c>
      <c r="C39" s="5" t="s">
        <v>99</v>
      </c>
      <c r="D39" s="5" t="s">
        <v>100</v>
      </c>
      <c r="E39" s="7" t="s">
        <v>60</v>
      </c>
      <c r="F39" s="8">
        <v>3.0</v>
      </c>
      <c r="G39" s="8">
        <v>15000.0</v>
      </c>
      <c r="H39" s="8">
        <v>9500.0</v>
      </c>
    </row>
    <row r="40" ht="22.5" customHeight="1">
      <c r="A40" s="5" t="s">
        <v>150</v>
      </c>
      <c r="B40" s="6">
        <v>46026.0</v>
      </c>
      <c r="C40" s="5" t="s">
        <v>99</v>
      </c>
      <c r="D40" s="5" t="s">
        <v>115</v>
      </c>
      <c r="E40" s="7" t="s">
        <v>51</v>
      </c>
      <c r="F40" s="8">
        <v>2.0</v>
      </c>
      <c r="G40" s="8">
        <v>8500.0</v>
      </c>
      <c r="H40" s="8">
        <v>4800.0</v>
      </c>
    </row>
    <row r="41" ht="22.5" customHeight="1">
      <c r="A41" s="5" t="s">
        <v>151</v>
      </c>
      <c r="B41" s="6">
        <v>46084.0</v>
      </c>
      <c r="C41" s="5" t="s">
        <v>102</v>
      </c>
      <c r="D41" s="5" t="s">
        <v>113</v>
      </c>
      <c r="E41" s="7" t="s">
        <v>56</v>
      </c>
      <c r="F41" s="8">
        <v>23.0</v>
      </c>
      <c r="G41" s="8">
        <v>32000.0</v>
      </c>
      <c r="H41" s="8">
        <v>21000.0</v>
      </c>
    </row>
    <row r="42" ht="22.5" customHeight="1">
      <c r="A42" s="5" t="s">
        <v>152</v>
      </c>
      <c r="B42" s="6">
        <v>46108.0</v>
      </c>
      <c r="C42" s="5" t="s">
        <v>102</v>
      </c>
      <c r="D42" s="5" t="s">
        <v>141</v>
      </c>
      <c r="E42" s="7" t="s">
        <v>19</v>
      </c>
      <c r="F42" s="8">
        <v>25.0</v>
      </c>
      <c r="G42" s="8">
        <v>28000.0</v>
      </c>
      <c r="H42" s="8">
        <v>18000.0</v>
      </c>
    </row>
    <row r="43" ht="22.5" customHeight="1">
      <c r="A43" s="5" t="s">
        <v>153</v>
      </c>
      <c r="B43" s="6">
        <v>46060.0</v>
      </c>
      <c r="C43" s="5" t="s">
        <v>88</v>
      </c>
      <c r="D43" s="5" t="s">
        <v>100</v>
      </c>
      <c r="E43" s="7" t="s">
        <v>38</v>
      </c>
      <c r="F43" s="8">
        <v>17.0</v>
      </c>
      <c r="G43" s="8">
        <v>29500.0</v>
      </c>
      <c r="H43" s="8">
        <v>20000.0</v>
      </c>
    </row>
    <row r="44" ht="22.5" customHeight="1">
      <c r="A44" s="5" t="s">
        <v>154</v>
      </c>
      <c r="B44" s="6">
        <v>46050.0</v>
      </c>
      <c r="C44" s="5" t="s">
        <v>102</v>
      </c>
      <c r="D44" s="5" t="s">
        <v>113</v>
      </c>
      <c r="E44" s="7" t="s">
        <v>71</v>
      </c>
      <c r="F44" s="8">
        <v>18.0</v>
      </c>
      <c r="G44" s="8">
        <v>22000.0</v>
      </c>
      <c r="H44" s="8">
        <v>14000.0</v>
      </c>
    </row>
    <row r="45" ht="22.5" customHeight="1">
      <c r="A45" s="5" t="s">
        <v>155</v>
      </c>
      <c r="B45" s="6">
        <v>46084.0</v>
      </c>
      <c r="C45" s="5" t="s">
        <v>118</v>
      </c>
      <c r="D45" s="5" t="s">
        <v>106</v>
      </c>
      <c r="E45" s="7" t="s">
        <v>156</v>
      </c>
      <c r="F45" s="8">
        <v>22.0</v>
      </c>
      <c r="G45" s="8">
        <v>6200.0</v>
      </c>
      <c r="H45" s="8">
        <v>3800.0</v>
      </c>
    </row>
    <row r="46" ht="22.5" customHeight="1">
      <c r="A46" s="5" t="s">
        <v>157</v>
      </c>
      <c r="B46" s="6">
        <v>46107.0</v>
      </c>
      <c r="C46" s="5" t="s">
        <v>88</v>
      </c>
      <c r="D46" s="5" t="s">
        <v>90</v>
      </c>
      <c r="E46" s="7" t="s">
        <v>25</v>
      </c>
      <c r="F46" s="8">
        <v>9.0</v>
      </c>
      <c r="G46" s="8">
        <v>19500.0</v>
      </c>
      <c r="H46" s="8">
        <v>12000.0</v>
      </c>
    </row>
    <row r="47" ht="22.5" customHeight="1">
      <c r="A47" s="5" t="s">
        <v>158</v>
      </c>
      <c r="B47" s="6">
        <v>46075.0</v>
      </c>
      <c r="C47" s="5" t="s">
        <v>118</v>
      </c>
      <c r="D47" s="5" t="s">
        <v>106</v>
      </c>
      <c r="E47" s="7" t="s">
        <v>56</v>
      </c>
      <c r="F47" s="8">
        <v>16.0</v>
      </c>
      <c r="G47" s="8">
        <v>32000.0</v>
      </c>
      <c r="H47" s="8">
        <v>21000.0</v>
      </c>
    </row>
    <row r="48" ht="22.5" customHeight="1">
      <c r="A48" s="5" t="s">
        <v>159</v>
      </c>
      <c r="B48" s="6">
        <v>46024.0</v>
      </c>
      <c r="C48" s="5" t="s">
        <v>133</v>
      </c>
      <c r="D48" s="5" t="s">
        <v>106</v>
      </c>
      <c r="E48" s="7" t="s">
        <v>64</v>
      </c>
      <c r="F48" s="8">
        <v>1.0</v>
      </c>
      <c r="G48" s="8">
        <v>6200.0</v>
      </c>
      <c r="H48" s="8">
        <v>3800.0</v>
      </c>
    </row>
    <row r="49" ht="22.5" customHeight="1">
      <c r="A49" s="5" t="s">
        <v>160</v>
      </c>
      <c r="B49" s="6">
        <v>46086.0</v>
      </c>
      <c r="C49" s="5" t="s">
        <v>133</v>
      </c>
      <c r="D49" s="5" t="s">
        <v>127</v>
      </c>
      <c r="E49" s="7" t="s">
        <v>161</v>
      </c>
      <c r="F49" s="8">
        <v>18.0</v>
      </c>
      <c r="G49" s="8">
        <v>3800.0</v>
      </c>
      <c r="H49" s="8">
        <v>2500.0</v>
      </c>
    </row>
    <row r="50" ht="22.5" customHeight="1">
      <c r="A50" s="5" t="s">
        <v>167</v>
      </c>
      <c r="B50" s="6">
        <v>46037.0</v>
      </c>
      <c r="C50" s="5" t="s">
        <v>118</v>
      </c>
      <c r="D50" s="5" t="s">
        <v>115</v>
      </c>
      <c r="E50" s="7" t="s">
        <v>29</v>
      </c>
      <c r="F50" s="8">
        <v>12.0</v>
      </c>
      <c r="G50" s="8">
        <v>9200.0</v>
      </c>
      <c r="H50" s="8">
        <v>5500.0</v>
      </c>
    </row>
    <row r="51" ht="22.5" customHeight="1">
      <c r="A51" s="5" t="s">
        <v>168</v>
      </c>
      <c r="B51" s="6">
        <v>46103.0</v>
      </c>
      <c r="C51" s="5" t="s">
        <v>102</v>
      </c>
      <c r="D51" s="5" t="s">
        <v>106</v>
      </c>
      <c r="E51" s="7" t="s">
        <v>19</v>
      </c>
      <c r="F51" s="8">
        <v>2.0</v>
      </c>
      <c r="G51" s="8">
        <v>28000.0</v>
      </c>
      <c r="H51" s="8">
        <v>18000.0</v>
      </c>
    </row>
    <row r="52" ht="22.5" customHeight="1">
      <c r="A52" s="5" t="s">
        <v>169</v>
      </c>
      <c r="B52" s="6">
        <v>46069.0</v>
      </c>
      <c r="C52" s="5" t="s">
        <v>102</v>
      </c>
      <c r="D52" s="5" t="s">
        <v>106</v>
      </c>
      <c r="E52" s="7" t="s">
        <v>13</v>
      </c>
      <c r="F52" s="8">
        <v>14.0</v>
      </c>
      <c r="G52" s="8">
        <v>35000.0</v>
      </c>
      <c r="H52" s="8">
        <v>24000.0</v>
      </c>
    </row>
    <row r="53" ht="22.5" customHeight="1">
      <c r="A53" s="5" t="s">
        <v>170</v>
      </c>
      <c r="B53" s="6">
        <v>46066.0</v>
      </c>
      <c r="C53" s="5" t="s">
        <v>103</v>
      </c>
      <c r="D53" s="5" t="s">
        <v>106</v>
      </c>
      <c r="E53" s="7" t="s">
        <v>171</v>
      </c>
      <c r="F53" s="8">
        <v>14.0</v>
      </c>
      <c r="G53" s="8">
        <v>18500.0</v>
      </c>
      <c r="H53" s="8">
        <v>12500.0</v>
      </c>
    </row>
    <row r="54" ht="22.5" customHeight="1">
      <c r="A54" s="5" t="s">
        <v>172</v>
      </c>
      <c r="B54" s="6">
        <v>46099.0</v>
      </c>
      <c r="C54" s="5" t="s">
        <v>103</v>
      </c>
      <c r="D54" s="5" t="s">
        <v>141</v>
      </c>
      <c r="E54" s="7" t="s">
        <v>25</v>
      </c>
      <c r="F54" s="8">
        <v>24.0</v>
      </c>
      <c r="G54" s="8">
        <v>19500.0</v>
      </c>
      <c r="H54" s="8">
        <v>12000.0</v>
      </c>
    </row>
    <row r="55" ht="22.5" customHeight="1">
      <c r="A55" s="5" t="s">
        <v>173</v>
      </c>
      <c r="B55" s="6">
        <v>46104.0</v>
      </c>
      <c r="C55" s="5" t="s">
        <v>103</v>
      </c>
      <c r="D55" s="5" t="s">
        <v>100</v>
      </c>
      <c r="E55" s="7" t="s">
        <v>13</v>
      </c>
      <c r="F55" s="8">
        <v>8.0</v>
      </c>
      <c r="G55" s="8">
        <v>35000.0</v>
      </c>
      <c r="H55" s="8">
        <v>24000.0</v>
      </c>
    </row>
    <row r="56" ht="22.5" customHeight="1">
      <c r="A56" s="5" t="s">
        <v>174</v>
      </c>
      <c r="B56" s="6">
        <v>46076.0</v>
      </c>
      <c r="C56" s="5" t="s">
        <v>103</v>
      </c>
      <c r="D56" s="5" t="s">
        <v>106</v>
      </c>
      <c r="E56" s="7" t="s">
        <v>56</v>
      </c>
      <c r="F56" s="8">
        <v>1.0</v>
      </c>
      <c r="G56" s="8">
        <v>32000.0</v>
      </c>
      <c r="H56" s="8">
        <v>21000.0</v>
      </c>
    </row>
    <row r="57" ht="22.5" customHeight="1">
      <c r="A57" s="5" t="s">
        <v>175</v>
      </c>
      <c r="B57" s="6">
        <v>46112.0</v>
      </c>
      <c r="C57" s="5" t="s">
        <v>103</v>
      </c>
      <c r="D57" s="5" t="s">
        <v>113</v>
      </c>
      <c r="E57" s="7" t="s">
        <v>67</v>
      </c>
      <c r="F57" s="8">
        <v>17.0</v>
      </c>
      <c r="G57" s="8">
        <v>3100.0</v>
      </c>
      <c r="H57" s="8">
        <v>1800.0</v>
      </c>
    </row>
    <row r="58" ht="22.5" customHeight="1">
      <c r="A58" s="5" t="s">
        <v>176</v>
      </c>
      <c r="B58" s="6">
        <v>46024.0</v>
      </c>
      <c r="C58" s="5" t="s">
        <v>88</v>
      </c>
      <c r="D58" s="5" t="s">
        <v>100</v>
      </c>
      <c r="E58" s="7" t="s">
        <v>42</v>
      </c>
      <c r="F58" s="8">
        <v>9.0</v>
      </c>
      <c r="G58" s="8">
        <v>45000.0</v>
      </c>
      <c r="H58" s="8">
        <v>30000.0</v>
      </c>
    </row>
    <row r="59" ht="22.5" customHeight="1">
      <c r="A59" s="5" t="s">
        <v>177</v>
      </c>
      <c r="B59" s="6">
        <v>46064.0</v>
      </c>
      <c r="C59" s="5" t="s">
        <v>99</v>
      </c>
      <c r="D59" s="5" t="s">
        <v>141</v>
      </c>
      <c r="E59" s="7" t="s">
        <v>60</v>
      </c>
      <c r="F59" s="8">
        <v>11.0</v>
      </c>
      <c r="G59" s="8">
        <v>15000.0</v>
      </c>
      <c r="H59" s="8">
        <v>9500.0</v>
      </c>
    </row>
    <row r="60" ht="22.5" customHeight="1">
      <c r="A60" s="5" t="s">
        <v>178</v>
      </c>
      <c r="B60" s="6">
        <v>46112.0</v>
      </c>
      <c r="C60" s="5" t="s">
        <v>99</v>
      </c>
      <c r="D60" s="5" t="s">
        <v>115</v>
      </c>
      <c r="E60" s="7" t="s">
        <v>19</v>
      </c>
      <c r="F60" s="8">
        <v>23.0</v>
      </c>
      <c r="G60" s="8">
        <v>28000.0</v>
      </c>
      <c r="H60" s="8">
        <v>18000.0</v>
      </c>
    </row>
    <row r="61" ht="22.5" customHeight="1">
      <c r="A61" s="5" t="s">
        <v>179</v>
      </c>
      <c r="B61" s="6">
        <v>46109.0</v>
      </c>
      <c r="C61" s="5" t="s">
        <v>118</v>
      </c>
      <c r="D61" s="5" t="s">
        <v>90</v>
      </c>
      <c r="E61" s="7" t="s">
        <v>7</v>
      </c>
      <c r="F61" s="8">
        <v>12.0</v>
      </c>
      <c r="G61" s="8">
        <v>3800.0</v>
      </c>
      <c r="H61" s="8">
        <v>2500.0</v>
      </c>
    </row>
    <row r="62" ht="22.5" customHeight="1">
      <c r="A62" s="5" t="s">
        <v>180</v>
      </c>
      <c r="B62" s="6">
        <v>46100.0</v>
      </c>
      <c r="C62" s="5" t="s">
        <v>118</v>
      </c>
      <c r="D62" s="5" t="s">
        <v>106</v>
      </c>
      <c r="E62" s="7" t="s">
        <v>29</v>
      </c>
      <c r="F62" s="8">
        <v>10.0</v>
      </c>
      <c r="G62" s="8">
        <v>9200.0</v>
      </c>
      <c r="H62" s="8">
        <v>5500.0</v>
      </c>
    </row>
    <row r="63" ht="22.5" customHeight="1">
      <c r="A63" s="5" t="s">
        <v>181</v>
      </c>
      <c r="B63" s="6">
        <v>46081.0</v>
      </c>
      <c r="C63" s="5" t="s">
        <v>102</v>
      </c>
      <c r="D63" s="5" t="s">
        <v>127</v>
      </c>
      <c r="E63" s="7" t="s">
        <v>60</v>
      </c>
      <c r="F63" s="8">
        <v>14.0</v>
      </c>
      <c r="G63" s="8">
        <v>15000.0</v>
      </c>
      <c r="H63" s="8">
        <v>9500.0</v>
      </c>
    </row>
    <row r="64" ht="22.5" customHeight="1">
      <c r="A64" s="5" t="s">
        <v>182</v>
      </c>
      <c r="B64" s="6">
        <v>46075.0</v>
      </c>
      <c r="C64" s="5" t="s">
        <v>99</v>
      </c>
      <c r="D64" s="5" t="s">
        <v>127</v>
      </c>
      <c r="E64" s="7" t="s">
        <v>42</v>
      </c>
      <c r="F64" s="8">
        <v>18.0</v>
      </c>
      <c r="G64" s="8">
        <v>45000.0</v>
      </c>
      <c r="H64" s="8">
        <v>30000.0</v>
      </c>
    </row>
    <row r="65" ht="22.5" customHeight="1">
      <c r="A65" s="5" t="s">
        <v>183</v>
      </c>
      <c r="B65" s="6">
        <v>46057.0</v>
      </c>
      <c r="C65" s="5" t="s">
        <v>99</v>
      </c>
      <c r="D65" s="5" t="s">
        <v>127</v>
      </c>
      <c r="E65" s="7" t="s">
        <v>46</v>
      </c>
      <c r="F65" s="8">
        <v>15.0</v>
      </c>
      <c r="G65" s="8">
        <v>18500.0</v>
      </c>
      <c r="H65" s="8">
        <v>12500.0</v>
      </c>
    </row>
    <row r="66" ht="22.5" customHeight="1">
      <c r="A66" s="5" t="s">
        <v>184</v>
      </c>
      <c r="B66" s="6">
        <v>46081.0</v>
      </c>
      <c r="C66" s="5" t="s">
        <v>103</v>
      </c>
      <c r="D66" s="5" t="s">
        <v>90</v>
      </c>
      <c r="E66" s="7" t="s">
        <v>56</v>
      </c>
      <c r="F66" s="8">
        <v>3.0</v>
      </c>
      <c r="G66" s="8">
        <v>32000.0</v>
      </c>
      <c r="H66" s="8">
        <v>21000.0</v>
      </c>
    </row>
    <row r="67" ht="22.5" customHeight="1">
      <c r="A67" s="5" t="s">
        <v>185</v>
      </c>
      <c r="B67" s="6">
        <v>46109.0</v>
      </c>
      <c r="C67" s="5" t="s">
        <v>103</v>
      </c>
      <c r="D67" s="5" t="s">
        <v>106</v>
      </c>
      <c r="E67" s="7" t="s">
        <v>64</v>
      </c>
      <c r="F67" s="8">
        <v>10.0</v>
      </c>
      <c r="G67" s="8">
        <v>6200.0</v>
      </c>
      <c r="H67" s="8">
        <v>3800.0</v>
      </c>
    </row>
    <row r="68" ht="22.5" customHeight="1">
      <c r="A68" s="5" t="s">
        <v>186</v>
      </c>
      <c r="B68" s="6">
        <v>46085.0</v>
      </c>
      <c r="C68" s="5" t="s">
        <v>133</v>
      </c>
      <c r="D68" s="5" t="s">
        <v>127</v>
      </c>
      <c r="E68" s="7" t="s">
        <v>25</v>
      </c>
      <c r="F68" s="8">
        <v>3.0</v>
      </c>
      <c r="G68" s="8">
        <v>19500.0</v>
      </c>
      <c r="H68" s="8">
        <v>12000.0</v>
      </c>
    </row>
    <row r="69" ht="22.5" customHeight="1">
      <c r="A69" s="5" t="s">
        <v>187</v>
      </c>
      <c r="B69" s="6">
        <v>46023.0</v>
      </c>
      <c r="C69" s="5" t="s">
        <v>118</v>
      </c>
      <c r="D69" s="5" t="s">
        <v>141</v>
      </c>
      <c r="E69" s="7" t="s">
        <v>156</v>
      </c>
      <c r="F69" s="8">
        <v>8.0</v>
      </c>
      <c r="G69" s="8">
        <v>6200.0</v>
      </c>
      <c r="H69" s="8">
        <v>3800.0</v>
      </c>
    </row>
    <row r="70" ht="22.5" customHeight="1">
      <c r="A70" s="5" t="s">
        <v>188</v>
      </c>
      <c r="B70" s="6">
        <v>46084.0</v>
      </c>
      <c r="C70" s="5" t="s">
        <v>103</v>
      </c>
      <c r="D70" s="5" t="s">
        <v>106</v>
      </c>
      <c r="E70" s="7" t="s">
        <v>60</v>
      </c>
      <c r="F70" s="8">
        <v>4.0</v>
      </c>
      <c r="G70" s="8">
        <v>15000.0</v>
      </c>
      <c r="H70" s="8">
        <v>9500.0</v>
      </c>
    </row>
    <row r="71" ht="22.5" customHeight="1">
      <c r="A71" s="5" t="s">
        <v>189</v>
      </c>
      <c r="B71" s="6">
        <v>46106.0</v>
      </c>
      <c r="C71" s="5" t="s">
        <v>88</v>
      </c>
      <c r="D71" s="5" t="s">
        <v>127</v>
      </c>
      <c r="E71" s="7" t="s">
        <v>13</v>
      </c>
      <c r="F71" s="8">
        <v>4.0</v>
      </c>
      <c r="G71" s="8">
        <v>35000.0</v>
      </c>
      <c r="H71" s="8">
        <v>24000.0</v>
      </c>
    </row>
    <row r="72" ht="22.5" customHeight="1">
      <c r="A72" s="5" t="s">
        <v>190</v>
      </c>
      <c r="B72" s="6">
        <v>46031.0</v>
      </c>
      <c r="C72" s="5" t="s">
        <v>99</v>
      </c>
      <c r="D72" s="5" t="s">
        <v>127</v>
      </c>
      <c r="E72" s="7" t="s">
        <v>60</v>
      </c>
      <c r="F72" s="8">
        <v>25.0</v>
      </c>
      <c r="G72" s="8">
        <v>15000.0</v>
      </c>
      <c r="H72" s="8">
        <v>9500.0</v>
      </c>
    </row>
    <row r="73" ht="22.5" customHeight="1">
      <c r="A73" s="5" t="s">
        <v>191</v>
      </c>
      <c r="B73" s="6">
        <v>46056.0</v>
      </c>
      <c r="C73" s="5" t="s">
        <v>133</v>
      </c>
      <c r="D73" s="5" t="s">
        <v>106</v>
      </c>
      <c r="E73" s="7" t="s">
        <v>34</v>
      </c>
      <c r="F73" s="8">
        <v>15.0</v>
      </c>
      <c r="G73" s="8">
        <v>4800.0</v>
      </c>
      <c r="H73" s="8">
        <v>2700.0</v>
      </c>
    </row>
    <row r="74" ht="22.5" customHeight="1">
      <c r="A74" s="5" t="s">
        <v>192</v>
      </c>
      <c r="B74" s="6">
        <v>46050.0</v>
      </c>
      <c r="C74" s="5" t="s">
        <v>103</v>
      </c>
      <c r="D74" s="5" t="s">
        <v>115</v>
      </c>
      <c r="E74" s="7" t="s">
        <v>7</v>
      </c>
      <c r="F74" s="8">
        <v>9.0</v>
      </c>
      <c r="G74" s="8">
        <v>3800.0</v>
      </c>
      <c r="H74" s="8">
        <v>2500.0</v>
      </c>
    </row>
    <row r="75" ht="22.5" customHeight="1">
      <c r="A75" s="5" t="s">
        <v>193</v>
      </c>
      <c r="B75" s="6">
        <v>46036.0</v>
      </c>
      <c r="C75" s="5" t="s">
        <v>133</v>
      </c>
      <c r="D75" s="5" t="s">
        <v>100</v>
      </c>
      <c r="E75" s="7" t="s">
        <v>38</v>
      </c>
      <c r="F75" s="8">
        <v>8.0</v>
      </c>
      <c r="G75" s="8">
        <v>29500.0</v>
      </c>
      <c r="H75" s="8">
        <v>20000.0</v>
      </c>
    </row>
    <row r="76" ht="22.5" customHeight="1">
      <c r="A76" s="5" t="s">
        <v>194</v>
      </c>
      <c r="B76" s="6">
        <v>46023.0</v>
      </c>
      <c r="C76" s="5" t="s">
        <v>108</v>
      </c>
      <c r="D76" s="5" t="s">
        <v>115</v>
      </c>
      <c r="E76" s="7" t="s">
        <v>25</v>
      </c>
      <c r="F76" s="8">
        <v>5.0</v>
      </c>
      <c r="G76" s="8">
        <v>19500.0</v>
      </c>
      <c r="H76" s="8">
        <v>12000.0</v>
      </c>
    </row>
    <row r="77" ht="22.5" customHeight="1">
      <c r="A77" s="5" t="s">
        <v>195</v>
      </c>
      <c r="B77" s="6">
        <v>46084.0</v>
      </c>
      <c r="C77" s="5" t="s">
        <v>133</v>
      </c>
      <c r="D77" s="5" t="s">
        <v>141</v>
      </c>
      <c r="E77" s="7" t="s">
        <v>13</v>
      </c>
      <c r="F77" s="8">
        <v>14.0</v>
      </c>
      <c r="G77" s="8">
        <v>35000.0</v>
      </c>
      <c r="H77" s="8">
        <v>24000.0</v>
      </c>
    </row>
    <row r="78" ht="22.5" customHeight="1">
      <c r="A78" s="5" t="s">
        <v>196</v>
      </c>
      <c r="B78" s="6">
        <v>46087.0</v>
      </c>
      <c r="C78" s="5" t="s">
        <v>103</v>
      </c>
      <c r="D78" s="5" t="s">
        <v>127</v>
      </c>
      <c r="E78" s="7" t="s">
        <v>56</v>
      </c>
      <c r="F78" s="8">
        <v>1.0</v>
      </c>
      <c r="G78" s="8">
        <v>32000.0</v>
      </c>
      <c r="H78" s="8">
        <v>21000.0</v>
      </c>
    </row>
    <row r="79" ht="22.5" customHeight="1">
      <c r="A79" s="5" t="s">
        <v>197</v>
      </c>
      <c r="B79" s="6">
        <v>46082.0</v>
      </c>
      <c r="C79" s="5" t="s">
        <v>103</v>
      </c>
      <c r="D79" s="5" t="s">
        <v>141</v>
      </c>
      <c r="E79" s="7" t="s">
        <v>46</v>
      </c>
      <c r="F79" s="8">
        <v>24.0</v>
      </c>
      <c r="G79" s="8">
        <v>18500.0</v>
      </c>
      <c r="H79" s="8">
        <v>12500.0</v>
      </c>
    </row>
    <row r="80" ht="22.5" customHeight="1">
      <c r="A80" s="5" t="s">
        <v>198</v>
      </c>
      <c r="B80" s="6">
        <v>46110.0</v>
      </c>
      <c r="C80" s="5" t="s">
        <v>102</v>
      </c>
      <c r="D80" s="5" t="s">
        <v>141</v>
      </c>
      <c r="E80" s="7" t="s">
        <v>64</v>
      </c>
      <c r="F80" s="8">
        <v>13.0</v>
      </c>
      <c r="G80" s="8">
        <v>6200.0</v>
      </c>
      <c r="H80" s="8">
        <v>3800.0</v>
      </c>
    </row>
    <row r="81" ht="22.5" customHeight="1">
      <c r="A81" s="5" t="s">
        <v>199</v>
      </c>
      <c r="B81" s="6">
        <v>46037.0</v>
      </c>
      <c r="C81" s="5" t="s">
        <v>103</v>
      </c>
      <c r="D81" s="5" t="s">
        <v>141</v>
      </c>
      <c r="E81" s="7" t="s">
        <v>67</v>
      </c>
      <c r="F81" s="8">
        <v>20.0</v>
      </c>
      <c r="G81" s="8">
        <v>3100.0</v>
      </c>
      <c r="H81" s="8">
        <v>1800.0</v>
      </c>
    </row>
    <row r="82" ht="22.5" customHeight="1">
      <c r="A82" s="5" t="s">
        <v>200</v>
      </c>
      <c r="B82" s="6">
        <v>46026.0</v>
      </c>
      <c r="C82" s="5" t="s">
        <v>88</v>
      </c>
      <c r="D82" s="5" t="s">
        <v>100</v>
      </c>
      <c r="E82" s="7" t="s">
        <v>46</v>
      </c>
      <c r="F82" s="8">
        <v>5.0</v>
      </c>
      <c r="G82" s="8">
        <v>18500.0</v>
      </c>
      <c r="H82" s="8">
        <v>12500.0</v>
      </c>
    </row>
    <row r="83" ht="22.5" customHeight="1">
      <c r="A83" s="5" t="s">
        <v>201</v>
      </c>
      <c r="B83" s="6">
        <v>46085.0</v>
      </c>
      <c r="C83" s="5" t="s">
        <v>108</v>
      </c>
      <c r="D83" s="5" t="s">
        <v>141</v>
      </c>
      <c r="E83" s="7" t="s">
        <v>56</v>
      </c>
      <c r="F83" s="8">
        <v>25.0</v>
      </c>
      <c r="G83" s="8">
        <v>32000.0</v>
      </c>
      <c r="H83" s="8">
        <v>21000.0</v>
      </c>
    </row>
    <row r="84" ht="22.5" customHeight="1">
      <c r="A84" s="5" t="s">
        <v>202</v>
      </c>
      <c r="B84" s="6">
        <v>46104.0</v>
      </c>
      <c r="C84" s="5" t="s">
        <v>88</v>
      </c>
      <c r="D84" s="5" t="s">
        <v>141</v>
      </c>
      <c r="E84" s="7" t="s">
        <v>64</v>
      </c>
      <c r="F84" s="8">
        <v>-5.0</v>
      </c>
      <c r="G84" s="8">
        <v>6200.0</v>
      </c>
      <c r="H84" s="8">
        <v>3800.0</v>
      </c>
    </row>
    <row r="85" ht="22.5" customHeight="1">
      <c r="A85" s="5" t="s">
        <v>203</v>
      </c>
      <c r="B85" s="6">
        <v>46031.0</v>
      </c>
      <c r="C85" s="5" t="s">
        <v>88</v>
      </c>
      <c r="D85" s="5" t="s">
        <v>106</v>
      </c>
      <c r="E85" s="7" t="s">
        <v>25</v>
      </c>
      <c r="F85" s="8">
        <v>2.0</v>
      </c>
      <c r="G85" s="8">
        <v>19500.0</v>
      </c>
      <c r="H85" s="8">
        <v>12000.0</v>
      </c>
    </row>
    <row r="86" ht="22.5" customHeight="1">
      <c r="A86" s="5" t="s">
        <v>204</v>
      </c>
      <c r="B86" s="6">
        <v>46106.0</v>
      </c>
      <c r="C86" s="5" t="s">
        <v>99</v>
      </c>
      <c r="D86" s="5" t="s">
        <v>115</v>
      </c>
      <c r="E86" s="7" t="s">
        <v>64</v>
      </c>
      <c r="F86" s="8">
        <v>16.0</v>
      </c>
      <c r="G86" s="8">
        <v>6200.0</v>
      </c>
      <c r="H86" s="8">
        <v>3800.0</v>
      </c>
    </row>
    <row r="87" ht="22.5" customHeight="1">
      <c r="A87" s="5" t="s">
        <v>205</v>
      </c>
      <c r="B87" s="6">
        <v>46064.0</v>
      </c>
      <c r="C87" s="5" t="s">
        <v>102</v>
      </c>
      <c r="D87" s="5" t="s">
        <v>106</v>
      </c>
      <c r="E87" s="7" t="s">
        <v>60</v>
      </c>
      <c r="F87" s="8">
        <v>20.0</v>
      </c>
      <c r="G87" s="8">
        <v>15000.0</v>
      </c>
      <c r="H87" s="8">
        <v>9500.0</v>
      </c>
    </row>
    <row r="88" ht="22.5" customHeight="1">
      <c r="A88" s="5" t="s">
        <v>206</v>
      </c>
      <c r="B88" s="6">
        <v>46051.0</v>
      </c>
      <c r="C88" s="5" t="s">
        <v>108</v>
      </c>
      <c r="D88" s="5" t="s">
        <v>113</v>
      </c>
      <c r="E88" s="7" t="s">
        <v>46</v>
      </c>
      <c r="F88" s="8">
        <v>1.0</v>
      </c>
      <c r="G88" s="8">
        <v>18500.0</v>
      </c>
      <c r="H88" s="8">
        <v>12500.0</v>
      </c>
    </row>
    <row r="89" ht="22.5" customHeight="1">
      <c r="A89" s="5" t="s">
        <v>207</v>
      </c>
      <c r="B89" s="6">
        <v>46084.0</v>
      </c>
      <c r="C89" s="5" t="s">
        <v>118</v>
      </c>
      <c r="D89" s="5" t="s">
        <v>115</v>
      </c>
      <c r="E89" s="7" t="s">
        <v>7</v>
      </c>
      <c r="F89" s="8">
        <v>23.0</v>
      </c>
      <c r="G89" s="8">
        <v>3800.0</v>
      </c>
      <c r="H89" s="8">
        <v>2500.0</v>
      </c>
    </row>
    <row r="90" ht="22.5" customHeight="1">
      <c r="A90" s="5" t="s">
        <v>208</v>
      </c>
      <c r="B90" s="6">
        <v>46046.0</v>
      </c>
      <c r="C90" s="5" t="s">
        <v>103</v>
      </c>
      <c r="D90" s="5" t="s">
        <v>90</v>
      </c>
      <c r="E90" s="7" t="s">
        <v>64</v>
      </c>
      <c r="F90" s="8">
        <v>4.0</v>
      </c>
      <c r="G90" s="8">
        <v>6200.0</v>
      </c>
      <c r="H90" s="8">
        <v>3800.0</v>
      </c>
    </row>
    <row r="91" ht="22.5" customHeight="1">
      <c r="A91" s="5" t="s">
        <v>209</v>
      </c>
      <c r="B91" s="6">
        <v>46085.0</v>
      </c>
      <c r="C91" s="5" t="s">
        <v>133</v>
      </c>
      <c r="D91" s="5" t="s">
        <v>90</v>
      </c>
      <c r="E91" s="7" t="s">
        <v>56</v>
      </c>
      <c r="F91" s="8">
        <v>17.0</v>
      </c>
      <c r="G91" s="8">
        <v>32000.0</v>
      </c>
      <c r="H91" s="8">
        <v>21000.0</v>
      </c>
    </row>
    <row r="92" ht="22.5" customHeight="1">
      <c r="A92" s="5" t="s">
        <v>210</v>
      </c>
      <c r="B92" s="6">
        <v>46086.0</v>
      </c>
      <c r="C92" s="5" t="s">
        <v>88</v>
      </c>
      <c r="D92" s="5" t="s">
        <v>141</v>
      </c>
      <c r="E92" s="7" t="s">
        <v>19</v>
      </c>
      <c r="F92" s="8">
        <v>21.0</v>
      </c>
      <c r="G92" s="8">
        <v>28000.0</v>
      </c>
      <c r="H92" s="8">
        <v>18000.0</v>
      </c>
    </row>
    <row r="93" ht="22.5" customHeight="1">
      <c r="A93" s="5" t="s">
        <v>211</v>
      </c>
      <c r="B93" s="6">
        <v>46034.0</v>
      </c>
      <c r="C93" s="5" t="s">
        <v>118</v>
      </c>
      <c r="D93" s="5" t="s">
        <v>127</v>
      </c>
      <c r="E93" s="7" t="s">
        <v>19</v>
      </c>
      <c r="F93" s="8">
        <v>9.0</v>
      </c>
      <c r="G93" s="8">
        <v>28000.0</v>
      </c>
      <c r="H93" s="8">
        <v>18000.0</v>
      </c>
    </row>
    <row r="94" ht="22.5" customHeight="1">
      <c r="A94" s="5" t="s">
        <v>212</v>
      </c>
      <c r="B94" s="6">
        <v>46055.0</v>
      </c>
      <c r="C94" s="5" t="s">
        <v>133</v>
      </c>
      <c r="D94" s="5" t="s">
        <v>106</v>
      </c>
      <c r="E94" s="7" t="s">
        <v>42</v>
      </c>
      <c r="F94" s="8">
        <v>9.0</v>
      </c>
      <c r="G94" s="8">
        <v>45000.0</v>
      </c>
      <c r="H94" s="8">
        <v>30000.0</v>
      </c>
    </row>
    <row r="95" ht="22.5" customHeight="1">
      <c r="A95" s="5" t="s">
        <v>213</v>
      </c>
      <c r="B95" s="6">
        <v>46097.0</v>
      </c>
      <c r="C95" s="5" t="s">
        <v>133</v>
      </c>
      <c r="D95" s="5" t="s">
        <v>115</v>
      </c>
      <c r="E95" s="7" t="s">
        <v>46</v>
      </c>
      <c r="F95" s="8">
        <v>19.0</v>
      </c>
      <c r="G95" s="8">
        <v>18500.0</v>
      </c>
      <c r="H95" s="8">
        <v>12500.0</v>
      </c>
    </row>
    <row r="96" ht="22.5" customHeight="1">
      <c r="A96" s="5" t="s">
        <v>214</v>
      </c>
      <c r="B96" s="6">
        <v>46065.0</v>
      </c>
      <c r="C96" s="5" t="s">
        <v>102</v>
      </c>
      <c r="D96" s="5" t="s">
        <v>115</v>
      </c>
      <c r="E96" s="7" t="s">
        <v>60</v>
      </c>
      <c r="F96" s="8">
        <v>12.0</v>
      </c>
      <c r="G96" s="8">
        <v>15000.0</v>
      </c>
      <c r="H96" s="8">
        <v>9500.0</v>
      </c>
    </row>
    <row r="97" ht="22.5" customHeight="1">
      <c r="A97" s="5" t="s">
        <v>215</v>
      </c>
      <c r="B97" s="6">
        <v>46031.0</v>
      </c>
      <c r="C97" s="5" t="s">
        <v>102</v>
      </c>
      <c r="D97" s="5" t="s">
        <v>127</v>
      </c>
      <c r="E97" s="7" t="s">
        <v>25</v>
      </c>
      <c r="F97" s="8">
        <v>-5.0</v>
      </c>
      <c r="G97" s="8">
        <v>19500.0</v>
      </c>
      <c r="H97" s="8">
        <v>12000.0</v>
      </c>
    </row>
    <row r="98" ht="22.5" customHeight="1">
      <c r="A98" s="5" t="s">
        <v>216</v>
      </c>
      <c r="B98" s="6">
        <v>46043.0</v>
      </c>
      <c r="C98" s="5" t="s">
        <v>99</v>
      </c>
      <c r="D98" s="5" t="s">
        <v>106</v>
      </c>
      <c r="E98" s="7" t="s">
        <v>71</v>
      </c>
      <c r="F98" s="8">
        <v>16.0</v>
      </c>
      <c r="G98" s="8">
        <v>22000.0</v>
      </c>
      <c r="H98" s="8">
        <v>14000.0</v>
      </c>
    </row>
    <row r="99" ht="22.5" customHeight="1">
      <c r="A99" s="5" t="s">
        <v>217</v>
      </c>
      <c r="B99" s="6">
        <v>46101.0</v>
      </c>
      <c r="C99" s="5" t="s">
        <v>108</v>
      </c>
      <c r="D99" s="5" t="s">
        <v>141</v>
      </c>
      <c r="E99" s="7" t="s">
        <v>46</v>
      </c>
      <c r="F99" s="8">
        <v>10.0</v>
      </c>
      <c r="G99" s="8">
        <v>18500.0</v>
      </c>
      <c r="H99" s="8">
        <v>12500.0</v>
      </c>
    </row>
    <row r="100" ht="22.5" customHeight="1">
      <c r="A100" s="5" t="s">
        <v>218</v>
      </c>
      <c r="B100" s="6">
        <v>46058.0</v>
      </c>
      <c r="C100" s="5" t="s">
        <v>133</v>
      </c>
      <c r="D100" s="5" t="s">
        <v>90</v>
      </c>
      <c r="E100" s="7" t="s">
        <v>25</v>
      </c>
      <c r="F100" s="8">
        <v>12.0</v>
      </c>
      <c r="G100" s="8">
        <v>19500.0</v>
      </c>
      <c r="H100" s="8">
        <v>12000.0</v>
      </c>
    </row>
    <row r="101" ht="22.5" customHeight="1">
      <c r="A101" s="5" t="s">
        <v>219</v>
      </c>
      <c r="B101" s="6">
        <v>46026.0</v>
      </c>
      <c r="C101" s="5" t="s">
        <v>118</v>
      </c>
      <c r="D101" s="5" t="s">
        <v>115</v>
      </c>
      <c r="E101" s="7" t="s">
        <v>7</v>
      </c>
      <c r="F101" s="8">
        <v>24.0</v>
      </c>
      <c r="G101" s="8">
        <v>3800.0</v>
      </c>
      <c r="H101" s="8">
        <v>2500.0</v>
      </c>
    </row>
    <row r="102" ht="22.5" customHeight="1">
      <c r="A102" s="5" t="s">
        <v>220</v>
      </c>
      <c r="B102" s="6">
        <v>46085.0</v>
      </c>
      <c r="C102" s="5" t="s">
        <v>118</v>
      </c>
      <c r="D102" s="5" t="s">
        <v>141</v>
      </c>
      <c r="E102" s="7" t="s">
        <v>60</v>
      </c>
      <c r="F102" s="8">
        <v>19.0</v>
      </c>
      <c r="G102" s="8">
        <v>15000.0</v>
      </c>
      <c r="H102" s="8">
        <v>9500.0</v>
      </c>
    </row>
    <row r="103" ht="22.5" customHeight="1">
      <c r="A103" s="5" t="s">
        <v>221</v>
      </c>
      <c r="B103" s="6">
        <v>46027.0</v>
      </c>
      <c r="C103" s="5" t="s">
        <v>103</v>
      </c>
      <c r="D103" s="5" t="s">
        <v>115</v>
      </c>
      <c r="E103" s="7" t="s">
        <v>19</v>
      </c>
      <c r="F103" s="8">
        <v>12.0</v>
      </c>
      <c r="G103" s="8">
        <v>28000.0</v>
      </c>
      <c r="H103" s="8">
        <v>18000.0</v>
      </c>
    </row>
    <row r="104" ht="22.5" customHeight="1">
      <c r="A104" s="5" t="s">
        <v>222</v>
      </c>
      <c r="B104" s="6">
        <v>46054.0</v>
      </c>
      <c r="C104" s="5" t="s">
        <v>88</v>
      </c>
      <c r="D104" s="5" t="s">
        <v>100</v>
      </c>
      <c r="E104" s="7" t="s">
        <v>42</v>
      </c>
      <c r="F104" s="8">
        <v>23.0</v>
      </c>
      <c r="G104" s="8">
        <v>45000.0</v>
      </c>
      <c r="H104" s="8">
        <v>30000.0</v>
      </c>
    </row>
    <row r="105" ht="22.5" customHeight="1">
      <c r="A105" s="5" t="s">
        <v>223</v>
      </c>
      <c r="B105" s="6">
        <v>46075.0</v>
      </c>
      <c r="C105" s="5" t="s">
        <v>103</v>
      </c>
      <c r="D105" s="5" t="s">
        <v>100</v>
      </c>
      <c r="E105" s="7" t="s">
        <v>19</v>
      </c>
      <c r="F105" s="8">
        <v>16.0</v>
      </c>
      <c r="G105" s="8">
        <v>28000.0</v>
      </c>
      <c r="H105" s="8">
        <v>18000.0</v>
      </c>
    </row>
    <row r="106" ht="22.5" customHeight="1">
      <c r="A106" s="5" t="s">
        <v>224</v>
      </c>
      <c r="B106" s="6">
        <v>46088.0</v>
      </c>
      <c r="C106" s="5" t="s">
        <v>103</v>
      </c>
      <c r="D106" s="5" t="s">
        <v>141</v>
      </c>
      <c r="E106" s="7" t="s">
        <v>67</v>
      </c>
      <c r="F106" s="8">
        <v>3.0</v>
      </c>
      <c r="G106" s="8">
        <v>3100.0</v>
      </c>
      <c r="H106" s="8">
        <v>1800.0</v>
      </c>
    </row>
    <row r="107" ht="22.5" customHeight="1">
      <c r="A107" s="5" t="s">
        <v>225</v>
      </c>
      <c r="B107" s="6">
        <v>46103.0</v>
      </c>
      <c r="C107" s="5" t="s">
        <v>108</v>
      </c>
      <c r="D107" s="5" t="s">
        <v>115</v>
      </c>
      <c r="E107" s="7" t="s">
        <v>226</v>
      </c>
      <c r="F107" s="8">
        <v>10.0</v>
      </c>
      <c r="G107" s="8">
        <v>3100.0</v>
      </c>
      <c r="H107" s="8">
        <v>1800.0</v>
      </c>
    </row>
    <row r="108" ht="22.5" customHeight="1">
      <c r="A108" s="5" t="s">
        <v>227</v>
      </c>
      <c r="B108" s="6">
        <v>46063.0</v>
      </c>
      <c r="C108" s="5" t="s">
        <v>103</v>
      </c>
      <c r="D108" s="5" t="s">
        <v>141</v>
      </c>
      <c r="E108" s="7" t="s">
        <v>29</v>
      </c>
      <c r="F108" s="8">
        <v>20.0</v>
      </c>
      <c r="G108" s="8">
        <v>9200.0</v>
      </c>
      <c r="H108" s="8">
        <v>5500.0</v>
      </c>
    </row>
    <row r="109" ht="22.5" customHeight="1">
      <c r="A109" s="5" t="s">
        <v>228</v>
      </c>
      <c r="B109" s="6">
        <v>46054.0</v>
      </c>
      <c r="C109" s="5" t="s">
        <v>102</v>
      </c>
      <c r="D109" s="5" t="s">
        <v>106</v>
      </c>
      <c r="E109" s="7" t="s">
        <v>25</v>
      </c>
      <c r="F109" s="8">
        <v>14.0</v>
      </c>
      <c r="G109" s="8">
        <v>19500.0</v>
      </c>
      <c r="H109" s="8">
        <v>12000.0</v>
      </c>
    </row>
    <row r="110" ht="22.5" customHeight="1">
      <c r="A110" s="5" t="s">
        <v>229</v>
      </c>
      <c r="B110" s="6">
        <v>46057.0</v>
      </c>
      <c r="C110" s="5" t="s">
        <v>88</v>
      </c>
      <c r="D110" s="5" t="s">
        <v>106</v>
      </c>
      <c r="E110" s="7" t="s">
        <v>64</v>
      </c>
      <c r="F110" s="8">
        <v>7.0</v>
      </c>
      <c r="G110" s="8">
        <v>6200.0</v>
      </c>
      <c r="H110" s="8">
        <v>3800.0</v>
      </c>
    </row>
    <row r="111" ht="22.5" customHeight="1">
      <c r="A111" s="5" t="s">
        <v>230</v>
      </c>
      <c r="B111" s="6">
        <v>46112.0</v>
      </c>
      <c r="C111" s="5" t="s">
        <v>88</v>
      </c>
      <c r="D111" s="5" t="s">
        <v>115</v>
      </c>
      <c r="E111" s="7" t="s">
        <v>51</v>
      </c>
      <c r="F111" s="8">
        <v>-5.0</v>
      </c>
      <c r="G111" s="8">
        <v>8500.0</v>
      </c>
      <c r="H111" s="8">
        <v>4800.0</v>
      </c>
    </row>
    <row r="112" ht="22.5" customHeight="1">
      <c r="A112" s="5" t="s">
        <v>231</v>
      </c>
      <c r="B112" s="6">
        <v>46030.0</v>
      </c>
      <c r="C112" s="5" t="s">
        <v>102</v>
      </c>
      <c r="D112" s="5" t="s">
        <v>90</v>
      </c>
      <c r="E112" s="7" t="s">
        <v>232</v>
      </c>
      <c r="F112" s="8">
        <v>15.0</v>
      </c>
      <c r="G112" s="8">
        <v>4800.0</v>
      </c>
      <c r="H112" s="8">
        <v>2700.0</v>
      </c>
    </row>
    <row r="113" ht="22.5" customHeight="1">
      <c r="A113" s="5" t="s">
        <v>233</v>
      </c>
      <c r="B113" s="6">
        <v>46064.0</v>
      </c>
      <c r="C113" s="5" t="s">
        <v>103</v>
      </c>
      <c r="D113" s="5" t="s">
        <v>106</v>
      </c>
      <c r="E113" s="7" t="s">
        <v>38</v>
      </c>
      <c r="F113" s="8">
        <v>22.0</v>
      </c>
      <c r="G113" s="8">
        <v>29500.0</v>
      </c>
      <c r="H113" s="8">
        <v>20000.0</v>
      </c>
    </row>
    <row r="114" ht="22.5" customHeight="1">
      <c r="A114" s="5" t="s">
        <v>234</v>
      </c>
      <c r="B114" s="6">
        <v>46029.0</v>
      </c>
      <c r="C114" s="5" t="s">
        <v>118</v>
      </c>
      <c r="D114" s="5" t="s">
        <v>115</v>
      </c>
      <c r="E114" s="7" t="s">
        <v>101</v>
      </c>
      <c r="F114" s="8">
        <v>5.0</v>
      </c>
      <c r="G114" s="8">
        <v>32000.0</v>
      </c>
      <c r="H114" s="8">
        <v>21000.0</v>
      </c>
    </row>
    <row r="115" ht="22.5" customHeight="1">
      <c r="A115" s="5" t="s">
        <v>235</v>
      </c>
      <c r="B115" s="6">
        <v>46096.0</v>
      </c>
      <c r="C115" s="5" t="s">
        <v>99</v>
      </c>
      <c r="D115" s="5" t="s">
        <v>90</v>
      </c>
      <c r="E115" s="7" t="s">
        <v>67</v>
      </c>
      <c r="F115" s="8">
        <v>10.0</v>
      </c>
      <c r="G115" s="8">
        <v>3100.0</v>
      </c>
      <c r="H115" s="8">
        <v>1800.0</v>
      </c>
    </row>
    <row r="116" ht="22.5" customHeight="1">
      <c r="A116" s="5" t="s">
        <v>236</v>
      </c>
      <c r="B116" s="6">
        <v>46046.0</v>
      </c>
      <c r="C116" s="5" t="s">
        <v>102</v>
      </c>
      <c r="D116" s="5" t="s">
        <v>127</v>
      </c>
      <c r="E116" s="7" t="s">
        <v>226</v>
      </c>
      <c r="F116" s="8">
        <v>15.0</v>
      </c>
      <c r="G116" s="8">
        <v>3100.0</v>
      </c>
      <c r="H116" s="8">
        <v>1800.0</v>
      </c>
    </row>
    <row r="117" ht="22.5" customHeight="1">
      <c r="A117" s="5" t="s">
        <v>237</v>
      </c>
      <c r="B117" s="6">
        <v>46084.0</v>
      </c>
      <c r="C117" s="5" t="s">
        <v>118</v>
      </c>
      <c r="D117" s="5" t="s">
        <v>113</v>
      </c>
      <c r="E117" s="7" t="s">
        <v>232</v>
      </c>
      <c r="F117" s="8">
        <v>1.0</v>
      </c>
      <c r="G117" s="8">
        <v>4800.0</v>
      </c>
      <c r="H117" s="8">
        <v>2700.0</v>
      </c>
    </row>
    <row r="118" ht="22.5" customHeight="1">
      <c r="A118" s="5" t="s">
        <v>238</v>
      </c>
      <c r="B118" s="6">
        <v>46046.0</v>
      </c>
      <c r="C118" s="5" t="s">
        <v>99</v>
      </c>
      <c r="D118" s="5" t="s">
        <v>127</v>
      </c>
      <c r="E118" s="7" t="s">
        <v>34</v>
      </c>
      <c r="F118" s="8">
        <v>25.0</v>
      </c>
      <c r="G118" s="8">
        <v>4800.0</v>
      </c>
      <c r="H118" s="8">
        <v>2700.0</v>
      </c>
    </row>
    <row r="119" ht="22.5" customHeight="1">
      <c r="A119" s="5" t="s">
        <v>239</v>
      </c>
      <c r="B119" s="6">
        <v>46026.0</v>
      </c>
      <c r="C119" s="5" t="s">
        <v>108</v>
      </c>
      <c r="D119" s="5" t="s">
        <v>141</v>
      </c>
      <c r="E119" s="7" t="s">
        <v>7</v>
      </c>
      <c r="F119" s="8">
        <v>15.0</v>
      </c>
      <c r="G119" s="8">
        <v>3800.0</v>
      </c>
      <c r="H119" s="8">
        <v>2500.0</v>
      </c>
    </row>
    <row r="120" ht="22.5" customHeight="1">
      <c r="A120" s="5" t="s">
        <v>240</v>
      </c>
      <c r="B120" s="6">
        <v>46052.0</v>
      </c>
      <c r="C120" s="5" t="s">
        <v>103</v>
      </c>
      <c r="D120" s="5" t="s">
        <v>141</v>
      </c>
      <c r="E120" s="7" t="s">
        <v>42</v>
      </c>
      <c r="F120" s="8">
        <v>16.0</v>
      </c>
      <c r="G120" s="8">
        <v>45000.0</v>
      </c>
      <c r="H120" s="8">
        <v>30000.0</v>
      </c>
    </row>
    <row r="121" ht="22.5" customHeight="1">
      <c r="A121" s="5" t="s">
        <v>241</v>
      </c>
      <c r="B121" s="6">
        <v>46074.0</v>
      </c>
      <c r="C121" s="5" t="s">
        <v>108</v>
      </c>
      <c r="D121" s="5" t="s">
        <v>113</v>
      </c>
      <c r="E121" s="7" t="s">
        <v>34</v>
      </c>
      <c r="F121" s="8">
        <v>16.0</v>
      </c>
      <c r="G121" s="8">
        <v>4800.0</v>
      </c>
      <c r="H121" s="8">
        <v>2700.0</v>
      </c>
    </row>
    <row r="122" ht="22.5" customHeight="1">
      <c r="A122" s="5" t="s">
        <v>242</v>
      </c>
      <c r="B122" s="6">
        <v>46074.0</v>
      </c>
      <c r="C122" s="5" t="s">
        <v>133</v>
      </c>
      <c r="D122" s="5" t="s">
        <v>100</v>
      </c>
      <c r="E122" s="7" t="s">
        <v>156</v>
      </c>
      <c r="F122" s="8">
        <v>11.0</v>
      </c>
      <c r="G122" s="8">
        <v>6200.0</v>
      </c>
      <c r="H122" s="8">
        <v>3800.0</v>
      </c>
    </row>
    <row r="123" ht="22.5" customHeight="1">
      <c r="A123" s="5" t="s">
        <v>243</v>
      </c>
      <c r="B123" s="6">
        <v>46075.0</v>
      </c>
      <c r="C123" s="5" t="s">
        <v>99</v>
      </c>
      <c r="D123" s="5" t="s">
        <v>106</v>
      </c>
      <c r="E123" s="7" t="s">
        <v>71</v>
      </c>
      <c r="F123" s="8">
        <v>22.0</v>
      </c>
      <c r="G123" s="8">
        <v>22000.0</v>
      </c>
      <c r="H123" s="8">
        <v>14000.0</v>
      </c>
    </row>
    <row r="124" ht="22.5" customHeight="1">
      <c r="A124" s="5" t="s">
        <v>244</v>
      </c>
      <c r="B124" s="6">
        <v>46028.0</v>
      </c>
      <c r="C124" s="5" t="s">
        <v>102</v>
      </c>
      <c r="D124" s="5" t="s">
        <v>127</v>
      </c>
      <c r="E124" s="7" t="s">
        <v>51</v>
      </c>
      <c r="F124" s="8">
        <v>21.0</v>
      </c>
      <c r="G124" s="8">
        <v>8500.0</v>
      </c>
      <c r="H124" s="8">
        <v>4800.0</v>
      </c>
    </row>
    <row r="125" ht="22.5" customHeight="1">
      <c r="A125" s="5" t="s">
        <v>245</v>
      </c>
      <c r="B125" s="6">
        <v>46088.0</v>
      </c>
      <c r="C125" s="5" t="s">
        <v>102</v>
      </c>
      <c r="D125" s="5" t="s">
        <v>141</v>
      </c>
      <c r="E125" s="7" t="s">
        <v>110</v>
      </c>
      <c r="F125" s="8">
        <v>16.0</v>
      </c>
      <c r="G125" s="8">
        <v>9200.0</v>
      </c>
      <c r="H125" s="8">
        <v>5500.0</v>
      </c>
    </row>
    <row r="126" ht="22.5" customHeight="1">
      <c r="A126" s="5" t="s">
        <v>246</v>
      </c>
      <c r="B126" s="6">
        <v>46023.0</v>
      </c>
      <c r="C126" s="5" t="s">
        <v>108</v>
      </c>
      <c r="D126" s="5" t="s">
        <v>90</v>
      </c>
      <c r="E126" s="7" t="s">
        <v>130</v>
      </c>
      <c r="F126" s="8">
        <v>18.0</v>
      </c>
      <c r="G126" s="8">
        <v>15000.0</v>
      </c>
      <c r="H126" s="8">
        <v>9500.0</v>
      </c>
    </row>
    <row r="127" ht="22.5" customHeight="1">
      <c r="A127" s="5" t="s">
        <v>247</v>
      </c>
      <c r="B127" s="6">
        <v>46049.0</v>
      </c>
      <c r="C127" s="5" t="s">
        <v>103</v>
      </c>
      <c r="D127" s="5" t="s">
        <v>100</v>
      </c>
      <c r="E127" s="7" t="s">
        <v>60</v>
      </c>
      <c r="F127" s="8">
        <v>4.0</v>
      </c>
      <c r="G127" s="8">
        <v>15000.0</v>
      </c>
      <c r="H127" s="8">
        <v>9500.0</v>
      </c>
    </row>
    <row r="128" ht="22.5" customHeight="1">
      <c r="A128" s="5" t="s">
        <v>248</v>
      </c>
      <c r="B128" s="6">
        <v>46101.0</v>
      </c>
      <c r="C128" s="5" t="s">
        <v>118</v>
      </c>
      <c r="D128" s="5" t="s">
        <v>113</v>
      </c>
      <c r="E128" s="7" t="s">
        <v>25</v>
      </c>
      <c r="F128" s="8">
        <v>16.0</v>
      </c>
      <c r="G128" s="8">
        <v>19500.0</v>
      </c>
      <c r="H128" s="8">
        <v>12000.0</v>
      </c>
    </row>
    <row r="129" ht="22.5" customHeight="1">
      <c r="A129" s="5" t="s">
        <v>249</v>
      </c>
      <c r="B129" s="6">
        <v>46110.0</v>
      </c>
      <c r="C129" s="5" t="s">
        <v>108</v>
      </c>
      <c r="D129" s="5" t="s">
        <v>127</v>
      </c>
      <c r="E129" s="7" t="s">
        <v>13</v>
      </c>
      <c r="F129" s="8">
        <v>5.0</v>
      </c>
      <c r="G129" s="8">
        <v>35000.0</v>
      </c>
      <c r="H129" s="8">
        <v>24000.0</v>
      </c>
    </row>
    <row r="130" ht="22.5" customHeight="1">
      <c r="A130" s="5" t="s">
        <v>250</v>
      </c>
      <c r="B130" s="6">
        <v>46045.0</v>
      </c>
      <c r="C130" s="5" t="s">
        <v>103</v>
      </c>
      <c r="D130" s="5" t="s">
        <v>127</v>
      </c>
      <c r="E130" s="7" t="s">
        <v>71</v>
      </c>
      <c r="F130" s="8">
        <v>1.0</v>
      </c>
      <c r="G130" s="8">
        <v>22000.0</v>
      </c>
      <c r="H130" s="8">
        <v>14000.0</v>
      </c>
    </row>
    <row r="131" ht="22.5" customHeight="1">
      <c r="A131" s="5" t="s">
        <v>251</v>
      </c>
      <c r="B131" s="6">
        <v>46101.0</v>
      </c>
      <c r="C131" s="5" t="s">
        <v>118</v>
      </c>
      <c r="D131" s="5" t="s">
        <v>141</v>
      </c>
      <c r="E131" s="7" t="s">
        <v>67</v>
      </c>
      <c r="F131" s="8">
        <v>15.0</v>
      </c>
      <c r="G131" s="8">
        <v>3100.0</v>
      </c>
      <c r="H131" s="8">
        <v>1800.0</v>
      </c>
    </row>
    <row r="132" ht="22.5" customHeight="1">
      <c r="A132" s="5" t="s">
        <v>252</v>
      </c>
      <c r="B132" s="6">
        <v>46067.0</v>
      </c>
      <c r="C132" s="5" t="s">
        <v>133</v>
      </c>
      <c r="D132" s="5" t="s">
        <v>141</v>
      </c>
      <c r="E132" s="7" t="s">
        <v>29</v>
      </c>
      <c r="F132" s="8">
        <v>7.0</v>
      </c>
      <c r="G132" s="8">
        <v>9200.0</v>
      </c>
      <c r="H132" s="8">
        <v>5500.0</v>
      </c>
    </row>
    <row r="133" ht="22.5" customHeight="1">
      <c r="A133" s="5" t="s">
        <v>253</v>
      </c>
      <c r="B133" s="6">
        <v>46037.0</v>
      </c>
      <c r="C133" s="5" t="s">
        <v>103</v>
      </c>
      <c r="D133" s="5" t="s">
        <v>141</v>
      </c>
      <c r="E133" s="7" t="s">
        <v>29</v>
      </c>
      <c r="F133" s="8">
        <v>24.0</v>
      </c>
      <c r="G133" s="8">
        <v>9200.0</v>
      </c>
      <c r="H133" s="8">
        <v>5500.0</v>
      </c>
    </row>
    <row r="134" ht="22.5" customHeight="1">
      <c r="A134" s="5" t="s">
        <v>254</v>
      </c>
      <c r="B134" s="6">
        <v>46066.0</v>
      </c>
      <c r="C134" s="5" t="s">
        <v>118</v>
      </c>
      <c r="D134" s="5" t="s">
        <v>106</v>
      </c>
      <c r="E134" s="7" t="s">
        <v>42</v>
      </c>
      <c r="F134" s="8">
        <v>5.0</v>
      </c>
      <c r="G134" s="8">
        <v>45000.0</v>
      </c>
      <c r="H134" s="8">
        <v>30000.0</v>
      </c>
    </row>
    <row r="135" ht="22.5" customHeight="1">
      <c r="A135" s="5" t="s">
        <v>255</v>
      </c>
      <c r="B135" s="6">
        <v>46050.0</v>
      </c>
      <c r="C135" s="5" t="s">
        <v>102</v>
      </c>
      <c r="D135" s="5" t="s">
        <v>106</v>
      </c>
      <c r="E135" s="7" t="s">
        <v>171</v>
      </c>
      <c r="F135" s="8">
        <v>15.0</v>
      </c>
      <c r="G135" s="8">
        <v>18500.0</v>
      </c>
      <c r="H135" s="8">
        <v>12500.0</v>
      </c>
    </row>
    <row r="136" ht="22.5" customHeight="1">
      <c r="A136" s="5" t="s">
        <v>256</v>
      </c>
      <c r="B136" s="6">
        <v>46024.0</v>
      </c>
      <c r="C136" s="5" t="s">
        <v>108</v>
      </c>
      <c r="D136" s="5" t="s">
        <v>141</v>
      </c>
      <c r="E136" s="7" t="s">
        <v>257</v>
      </c>
      <c r="F136" s="8">
        <v>5.0</v>
      </c>
      <c r="G136" s="8">
        <v>19500.0</v>
      </c>
      <c r="H136" s="8">
        <v>12000.0</v>
      </c>
    </row>
    <row r="137" ht="22.5" customHeight="1">
      <c r="A137" s="5" t="s">
        <v>258</v>
      </c>
      <c r="B137" s="6">
        <v>46037.0</v>
      </c>
      <c r="C137" s="5" t="s">
        <v>118</v>
      </c>
      <c r="D137" s="5" t="s">
        <v>141</v>
      </c>
      <c r="E137" s="7" t="s">
        <v>19</v>
      </c>
      <c r="F137" s="8">
        <v>11.0</v>
      </c>
      <c r="G137" s="8">
        <v>28000.0</v>
      </c>
      <c r="H137" s="8">
        <v>18000.0</v>
      </c>
    </row>
    <row r="138" ht="22.5" customHeight="1">
      <c r="A138" s="5" t="s">
        <v>259</v>
      </c>
      <c r="B138" s="6">
        <v>46060.0</v>
      </c>
      <c r="C138" s="5" t="s">
        <v>118</v>
      </c>
      <c r="D138" s="5" t="s">
        <v>90</v>
      </c>
      <c r="E138" s="7" t="s">
        <v>7</v>
      </c>
      <c r="F138" s="8">
        <v>16.0</v>
      </c>
      <c r="G138" s="8">
        <v>3800.0</v>
      </c>
      <c r="H138" s="8">
        <v>2500.0</v>
      </c>
    </row>
    <row r="139" ht="22.5" customHeight="1">
      <c r="A139" s="5" t="s">
        <v>260</v>
      </c>
      <c r="B139" s="6">
        <v>46044.0</v>
      </c>
      <c r="C139" s="5" t="s">
        <v>118</v>
      </c>
      <c r="D139" s="5" t="s">
        <v>113</v>
      </c>
      <c r="E139" s="7" t="s">
        <v>171</v>
      </c>
      <c r="F139" s="8">
        <v>24.0</v>
      </c>
      <c r="G139" s="8">
        <v>18500.0</v>
      </c>
      <c r="H139" s="8">
        <v>12500.0</v>
      </c>
    </row>
    <row r="140" ht="22.5" customHeight="1">
      <c r="A140" s="5" t="s">
        <v>261</v>
      </c>
      <c r="B140" s="6">
        <v>46025.0</v>
      </c>
      <c r="C140" s="5" t="s">
        <v>118</v>
      </c>
      <c r="D140" s="5" t="s">
        <v>106</v>
      </c>
      <c r="E140" s="7" t="s">
        <v>42</v>
      </c>
      <c r="F140" s="8">
        <v>6.0</v>
      </c>
      <c r="G140" s="8">
        <v>45000.0</v>
      </c>
      <c r="H140" s="8">
        <v>30000.0</v>
      </c>
    </row>
    <row r="141" ht="22.5" customHeight="1">
      <c r="A141" s="5" t="s">
        <v>262</v>
      </c>
      <c r="B141" s="6">
        <v>46023.0</v>
      </c>
      <c r="C141" s="5" t="s">
        <v>88</v>
      </c>
      <c r="D141" s="5" t="s">
        <v>113</v>
      </c>
      <c r="E141" s="7" t="s">
        <v>92</v>
      </c>
      <c r="F141" s="8">
        <v>14.0</v>
      </c>
      <c r="G141" s="8">
        <v>8500.0</v>
      </c>
      <c r="H141" s="8">
        <v>4800.0</v>
      </c>
    </row>
    <row r="142" ht="22.5" customHeight="1">
      <c r="A142" s="5" t="s">
        <v>263</v>
      </c>
      <c r="B142" s="6">
        <v>46037.0</v>
      </c>
      <c r="C142" s="5" t="s">
        <v>118</v>
      </c>
      <c r="D142" s="5" t="s">
        <v>106</v>
      </c>
      <c r="E142" s="7" t="s">
        <v>156</v>
      </c>
      <c r="F142" s="8">
        <v>6.0</v>
      </c>
      <c r="G142" s="8">
        <v>6200.0</v>
      </c>
      <c r="H142" s="8">
        <v>3800.0</v>
      </c>
    </row>
    <row r="143" ht="22.5" customHeight="1">
      <c r="A143" s="5" t="s">
        <v>264</v>
      </c>
      <c r="B143" s="6">
        <v>46029.0</v>
      </c>
      <c r="C143" s="5" t="s">
        <v>108</v>
      </c>
      <c r="D143" s="5" t="s">
        <v>141</v>
      </c>
      <c r="E143" s="7" t="s">
        <v>34</v>
      </c>
      <c r="F143" s="8">
        <v>5.0</v>
      </c>
      <c r="G143" s="8">
        <v>4800.0</v>
      </c>
      <c r="H143" s="8">
        <v>2700.0</v>
      </c>
    </row>
    <row r="144" ht="22.5" customHeight="1">
      <c r="A144" s="5" t="s">
        <v>265</v>
      </c>
      <c r="B144" s="6">
        <v>46055.0</v>
      </c>
      <c r="C144" s="5" t="s">
        <v>88</v>
      </c>
      <c r="D144" s="5" t="s">
        <v>106</v>
      </c>
      <c r="E144" s="7" t="s">
        <v>51</v>
      </c>
      <c r="F144" s="8">
        <v>10.0</v>
      </c>
      <c r="G144" s="8">
        <v>8500.0</v>
      </c>
      <c r="H144" s="8">
        <v>4800.0</v>
      </c>
    </row>
    <row r="145" ht="22.5" customHeight="1">
      <c r="A145" s="5" t="s">
        <v>266</v>
      </c>
      <c r="B145" s="6">
        <v>46096.0</v>
      </c>
      <c r="C145" s="5" t="s">
        <v>99</v>
      </c>
      <c r="D145" s="5" t="s">
        <v>113</v>
      </c>
      <c r="E145" s="7" t="s">
        <v>64</v>
      </c>
      <c r="F145" s="8">
        <v>14.0</v>
      </c>
      <c r="G145" s="8">
        <v>6200.0</v>
      </c>
      <c r="H145" s="8">
        <v>3800.0</v>
      </c>
    </row>
    <row r="146" ht="22.5" customHeight="1">
      <c r="A146" s="5" t="s">
        <v>267</v>
      </c>
      <c r="B146" s="6">
        <v>46066.0</v>
      </c>
      <c r="C146" s="5" t="s">
        <v>133</v>
      </c>
      <c r="D146" s="5" t="s">
        <v>106</v>
      </c>
      <c r="E146" s="7" t="s">
        <v>34</v>
      </c>
      <c r="F146" s="8">
        <v>8.0</v>
      </c>
      <c r="G146" s="8">
        <v>4800.0</v>
      </c>
      <c r="H146" s="8">
        <v>2700.0</v>
      </c>
    </row>
    <row r="147" ht="22.5" customHeight="1">
      <c r="A147" s="5" t="s">
        <v>268</v>
      </c>
      <c r="B147" s="6">
        <v>46084.0</v>
      </c>
      <c r="C147" s="5" t="s">
        <v>102</v>
      </c>
      <c r="D147" s="5" t="s">
        <v>100</v>
      </c>
      <c r="E147" s="7" t="s">
        <v>7</v>
      </c>
      <c r="F147" s="8">
        <v>22.0</v>
      </c>
      <c r="G147" s="8">
        <v>3800.0</v>
      </c>
      <c r="H147" s="8">
        <v>2500.0</v>
      </c>
    </row>
    <row r="148" ht="22.5" customHeight="1">
      <c r="A148" s="5" t="s">
        <v>269</v>
      </c>
      <c r="B148" s="6">
        <v>46075.0</v>
      </c>
      <c r="C148" s="5" t="s">
        <v>88</v>
      </c>
      <c r="D148" s="5" t="s">
        <v>127</v>
      </c>
      <c r="E148" s="7" t="s">
        <v>25</v>
      </c>
      <c r="F148" s="8">
        <v>10.0</v>
      </c>
      <c r="G148" s="8">
        <v>19500.0</v>
      </c>
      <c r="H148" s="8">
        <v>12000.0</v>
      </c>
    </row>
    <row r="149" ht="22.5" customHeight="1">
      <c r="A149" s="5" t="s">
        <v>270</v>
      </c>
      <c r="B149" s="6">
        <v>46069.0</v>
      </c>
      <c r="C149" s="5" t="s">
        <v>108</v>
      </c>
      <c r="D149" s="5" t="s">
        <v>127</v>
      </c>
      <c r="E149" s="7" t="s">
        <v>29</v>
      </c>
      <c r="F149" s="8">
        <v>25.0</v>
      </c>
      <c r="G149" s="8">
        <v>9200.0</v>
      </c>
      <c r="H149" s="8">
        <v>5500.0</v>
      </c>
    </row>
    <row r="150" ht="22.5" customHeight="1">
      <c r="A150" s="5" t="s">
        <v>271</v>
      </c>
      <c r="B150" s="6">
        <v>46111.0</v>
      </c>
      <c r="C150" s="5" t="s">
        <v>118</v>
      </c>
      <c r="D150" s="5" t="s">
        <v>90</v>
      </c>
      <c r="E150" s="7" t="s">
        <v>232</v>
      </c>
      <c r="F150" s="8">
        <v>15.0</v>
      </c>
      <c r="G150" s="8">
        <v>4800.0</v>
      </c>
      <c r="H150" s="8">
        <v>2700.0</v>
      </c>
    </row>
    <row r="151" ht="22.5" customHeight="1">
      <c r="A151" s="5" t="s">
        <v>272</v>
      </c>
      <c r="B151" s="6">
        <v>46036.0</v>
      </c>
      <c r="C151" s="5" t="s">
        <v>88</v>
      </c>
      <c r="D151" s="5" t="s">
        <v>113</v>
      </c>
      <c r="E151" s="7" t="s">
        <v>42</v>
      </c>
      <c r="F151" s="8">
        <v>14.0</v>
      </c>
      <c r="G151" s="8">
        <v>45000.0</v>
      </c>
      <c r="H151" s="8">
        <v>30000.0</v>
      </c>
    </row>
    <row r="152" ht="22.5" customHeight="1">
      <c r="A152" s="5" t="s">
        <v>273</v>
      </c>
      <c r="B152" s="6">
        <v>46070.0</v>
      </c>
      <c r="C152" s="5" t="s">
        <v>102</v>
      </c>
      <c r="D152" s="5" t="s">
        <v>127</v>
      </c>
      <c r="E152" s="7" t="s">
        <v>42</v>
      </c>
      <c r="F152" s="8">
        <v>9.0</v>
      </c>
      <c r="G152" s="8">
        <v>45000.0</v>
      </c>
      <c r="H152" s="8">
        <v>30000.0</v>
      </c>
    </row>
    <row r="153" ht="22.5" customHeight="1">
      <c r="A153" s="5" t="s">
        <v>274</v>
      </c>
      <c r="B153" s="6">
        <v>46110.0</v>
      </c>
      <c r="C153" s="5" t="s">
        <v>102</v>
      </c>
      <c r="D153" s="5" t="s">
        <v>90</v>
      </c>
      <c r="E153" s="7" t="s">
        <v>60</v>
      </c>
      <c r="F153" s="8">
        <v>4.0</v>
      </c>
      <c r="G153" s="8">
        <v>15000.0</v>
      </c>
      <c r="H153" s="8">
        <v>9500.0</v>
      </c>
    </row>
    <row r="154" ht="22.5" customHeight="1">
      <c r="A154" s="5" t="s">
        <v>275</v>
      </c>
      <c r="B154" s="6">
        <v>46111.0</v>
      </c>
      <c r="C154" s="5" t="s">
        <v>103</v>
      </c>
      <c r="D154" s="5" t="s">
        <v>90</v>
      </c>
      <c r="E154" s="7" t="s">
        <v>46</v>
      </c>
      <c r="F154" s="8">
        <v>13.0</v>
      </c>
      <c r="G154" s="8">
        <v>18500.0</v>
      </c>
      <c r="H154" s="8">
        <v>12500.0</v>
      </c>
    </row>
    <row r="155" ht="22.5" customHeight="1">
      <c r="A155" s="5" t="s">
        <v>276</v>
      </c>
      <c r="B155" s="6">
        <v>46084.0</v>
      </c>
      <c r="C155" s="5" t="s">
        <v>133</v>
      </c>
      <c r="D155" s="5" t="s">
        <v>100</v>
      </c>
      <c r="E155" s="7" t="s">
        <v>60</v>
      </c>
      <c r="F155" s="8">
        <v>4.0</v>
      </c>
      <c r="G155" s="8">
        <v>15000.0</v>
      </c>
      <c r="H155" s="8">
        <v>9500.0</v>
      </c>
    </row>
    <row r="156" ht="22.5" customHeight="1">
      <c r="A156" s="5" t="s">
        <v>277</v>
      </c>
      <c r="B156" s="6">
        <v>46030.0</v>
      </c>
      <c r="C156" s="5" t="s">
        <v>133</v>
      </c>
      <c r="D156" s="5" t="s">
        <v>106</v>
      </c>
      <c r="E156" s="7" t="s">
        <v>171</v>
      </c>
      <c r="F156" s="8">
        <v>12.0</v>
      </c>
      <c r="G156" s="8">
        <v>18500.0</v>
      </c>
      <c r="H156" s="8">
        <v>12500.0</v>
      </c>
    </row>
    <row r="157" ht="22.5" customHeight="1">
      <c r="A157" s="5" t="s">
        <v>278</v>
      </c>
      <c r="B157" s="6">
        <v>46095.0</v>
      </c>
      <c r="C157" s="5" t="s">
        <v>99</v>
      </c>
      <c r="D157" s="5" t="s">
        <v>127</v>
      </c>
      <c r="E157" s="7" t="s">
        <v>71</v>
      </c>
      <c r="F157" s="8">
        <v>20.0</v>
      </c>
      <c r="G157" s="8">
        <v>22000.0</v>
      </c>
      <c r="H157" s="8">
        <v>14000.0</v>
      </c>
    </row>
    <row r="158" ht="22.5" customHeight="1">
      <c r="A158" s="5" t="s">
        <v>279</v>
      </c>
      <c r="B158" s="6">
        <v>46110.0</v>
      </c>
      <c r="C158" s="5" t="s">
        <v>102</v>
      </c>
      <c r="D158" s="5" t="s">
        <v>90</v>
      </c>
      <c r="E158" s="7" t="s">
        <v>130</v>
      </c>
      <c r="F158" s="8">
        <v>5.0</v>
      </c>
      <c r="G158" s="8">
        <v>15000.0</v>
      </c>
      <c r="H158" s="8">
        <v>9500.0</v>
      </c>
    </row>
    <row r="159" ht="22.5" customHeight="1">
      <c r="A159" s="5" t="s">
        <v>280</v>
      </c>
      <c r="B159" s="6">
        <v>46050.0</v>
      </c>
      <c r="C159" s="5" t="s">
        <v>133</v>
      </c>
      <c r="D159" s="5" t="s">
        <v>100</v>
      </c>
      <c r="E159" s="7" t="s">
        <v>281</v>
      </c>
      <c r="F159" s="8">
        <v>18.0</v>
      </c>
      <c r="G159" s="8">
        <v>28000.0</v>
      </c>
      <c r="H159" s="8">
        <v>18000.0</v>
      </c>
    </row>
    <row r="160" ht="22.5" customHeight="1">
      <c r="A160" s="5" t="s">
        <v>282</v>
      </c>
      <c r="B160" s="6">
        <v>46110.0</v>
      </c>
      <c r="C160" s="5" t="s">
        <v>118</v>
      </c>
      <c r="D160" s="5" t="s">
        <v>90</v>
      </c>
      <c r="E160" s="7" t="s">
        <v>19</v>
      </c>
      <c r="F160" s="8">
        <v>14.0</v>
      </c>
      <c r="G160" s="8">
        <v>28000.0</v>
      </c>
      <c r="H160" s="8">
        <v>18000.0</v>
      </c>
    </row>
    <row r="161" ht="22.5" customHeight="1">
      <c r="A161" s="5" t="s">
        <v>283</v>
      </c>
      <c r="B161" s="6">
        <v>46082.0</v>
      </c>
      <c r="C161" s="5" t="s">
        <v>103</v>
      </c>
      <c r="D161" s="5" t="s">
        <v>141</v>
      </c>
      <c r="E161" s="7" t="s">
        <v>257</v>
      </c>
      <c r="F161" s="8">
        <v>9.0</v>
      </c>
      <c r="G161" s="8">
        <v>19500.0</v>
      </c>
      <c r="H161" s="8">
        <v>12000.0</v>
      </c>
    </row>
    <row r="162" ht="22.5" customHeight="1">
      <c r="A162" s="5" t="s">
        <v>284</v>
      </c>
      <c r="B162" s="6">
        <v>46079.0</v>
      </c>
      <c r="C162" s="5" t="s">
        <v>133</v>
      </c>
      <c r="D162" s="5" t="s">
        <v>115</v>
      </c>
      <c r="E162" s="7" t="s">
        <v>64</v>
      </c>
      <c r="F162" s="8">
        <v>4.0</v>
      </c>
      <c r="G162" s="8">
        <v>6200.0</v>
      </c>
      <c r="H162" s="8">
        <v>3800.0</v>
      </c>
    </row>
    <row r="163" ht="22.5" customHeight="1">
      <c r="A163" s="5" t="s">
        <v>285</v>
      </c>
      <c r="B163" s="6">
        <v>46098.0</v>
      </c>
      <c r="C163" s="5" t="s">
        <v>133</v>
      </c>
      <c r="D163" s="5" t="s">
        <v>113</v>
      </c>
      <c r="E163" s="7" t="s">
        <v>46</v>
      </c>
      <c r="F163" s="8">
        <v>4.0</v>
      </c>
      <c r="G163" s="8">
        <v>18500.0</v>
      </c>
      <c r="H163" s="8">
        <v>12500.0</v>
      </c>
    </row>
    <row r="164" ht="22.5" customHeight="1">
      <c r="A164" s="5" t="s">
        <v>286</v>
      </c>
      <c r="B164" s="6">
        <v>46084.0</v>
      </c>
      <c r="C164" s="5" t="s">
        <v>118</v>
      </c>
      <c r="D164" s="5" t="s">
        <v>90</v>
      </c>
      <c r="E164" s="7" t="s">
        <v>161</v>
      </c>
      <c r="F164" s="8">
        <v>1.0</v>
      </c>
      <c r="G164" s="8">
        <v>3800.0</v>
      </c>
      <c r="H164" s="8">
        <v>2500.0</v>
      </c>
    </row>
    <row r="165" ht="22.5" customHeight="1">
      <c r="A165" s="5" t="s">
        <v>287</v>
      </c>
      <c r="B165" s="6">
        <v>46045.0</v>
      </c>
      <c r="C165" s="5" t="s">
        <v>108</v>
      </c>
      <c r="D165" s="5" t="s">
        <v>106</v>
      </c>
      <c r="E165" s="7" t="s">
        <v>60</v>
      </c>
      <c r="F165" s="8">
        <v>3.0</v>
      </c>
      <c r="G165" s="8">
        <v>15000.0</v>
      </c>
      <c r="H165" s="8">
        <v>9500.0</v>
      </c>
    </row>
    <row r="166" ht="22.5" customHeight="1">
      <c r="A166" s="5" t="s">
        <v>288</v>
      </c>
      <c r="B166" s="6">
        <v>46026.0</v>
      </c>
      <c r="C166" s="5" t="s">
        <v>103</v>
      </c>
      <c r="D166" s="5" t="s">
        <v>115</v>
      </c>
      <c r="E166" s="7" t="s">
        <v>46</v>
      </c>
      <c r="F166" s="8">
        <v>5.0</v>
      </c>
      <c r="G166" s="8">
        <v>18500.0</v>
      </c>
      <c r="H166" s="8">
        <v>12500.0</v>
      </c>
    </row>
    <row r="167" ht="22.5" customHeight="1">
      <c r="A167" s="5" t="s">
        <v>289</v>
      </c>
      <c r="B167" s="6">
        <v>46109.0</v>
      </c>
      <c r="C167" s="5" t="s">
        <v>108</v>
      </c>
      <c r="D167" s="5" t="s">
        <v>115</v>
      </c>
      <c r="E167" s="7" t="s">
        <v>171</v>
      </c>
      <c r="F167" s="8">
        <v>6.0</v>
      </c>
      <c r="G167" s="8">
        <v>18500.0</v>
      </c>
      <c r="H167" s="8">
        <v>12500.0</v>
      </c>
    </row>
    <row r="168" ht="22.5" customHeight="1">
      <c r="A168" s="5" t="s">
        <v>290</v>
      </c>
      <c r="B168" s="6">
        <v>46075.0</v>
      </c>
      <c r="C168" s="5" t="s">
        <v>102</v>
      </c>
      <c r="D168" s="5" t="s">
        <v>106</v>
      </c>
      <c r="E168" s="7" t="s">
        <v>42</v>
      </c>
      <c r="F168" s="8">
        <v>19.0</v>
      </c>
      <c r="G168" s="8">
        <v>45000.0</v>
      </c>
      <c r="H168" s="8">
        <v>30000.0</v>
      </c>
    </row>
    <row r="169" ht="22.5" customHeight="1">
      <c r="A169" s="5" t="s">
        <v>291</v>
      </c>
      <c r="B169" s="6">
        <v>46087.0</v>
      </c>
      <c r="C169" s="5" t="s">
        <v>133</v>
      </c>
      <c r="D169" s="5" t="s">
        <v>127</v>
      </c>
      <c r="E169" s="7" t="s">
        <v>34</v>
      </c>
      <c r="F169" s="8">
        <v>3.0</v>
      </c>
      <c r="G169" s="8">
        <v>4800.0</v>
      </c>
      <c r="H169" s="8">
        <v>2700.0</v>
      </c>
    </row>
    <row r="170" ht="22.5" customHeight="1">
      <c r="A170" s="5" t="s">
        <v>292</v>
      </c>
      <c r="B170" s="6">
        <v>46050.0</v>
      </c>
      <c r="C170" s="5" t="s">
        <v>133</v>
      </c>
      <c r="D170" s="5" t="s">
        <v>127</v>
      </c>
      <c r="E170" s="7" t="s">
        <v>101</v>
      </c>
      <c r="F170" s="8">
        <v>20.0</v>
      </c>
      <c r="G170" s="8">
        <v>32000.0</v>
      </c>
      <c r="H170" s="8">
        <v>21000.0</v>
      </c>
    </row>
    <row r="171" ht="22.5" customHeight="1">
      <c r="A171" s="5" t="s">
        <v>293</v>
      </c>
      <c r="B171" s="6">
        <v>46103.0</v>
      </c>
      <c r="C171" s="5" t="s">
        <v>133</v>
      </c>
      <c r="D171" s="5" t="s">
        <v>90</v>
      </c>
      <c r="E171" s="7" t="s">
        <v>19</v>
      </c>
      <c r="F171" s="8">
        <v>2.0</v>
      </c>
      <c r="G171" s="8">
        <v>28000.0</v>
      </c>
      <c r="H171" s="8">
        <v>18000.0</v>
      </c>
    </row>
    <row r="172" ht="22.5" customHeight="1">
      <c r="A172" s="5" t="s">
        <v>294</v>
      </c>
      <c r="B172" s="6">
        <v>46073.0</v>
      </c>
      <c r="C172" s="5" t="s">
        <v>133</v>
      </c>
      <c r="D172" s="5" t="s">
        <v>90</v>
      </c>
      <c r="E172" s="7" t="s">
        <v>42</v>
      </c>
      <c r="F172" s="8">
        <v>3.0</v>
      </c>
      <c r="G172" s="8">
        <v>45000.0</v>
      </c>
      <c r="H172" s="8">
        <v>30000.0</v>
      </c>
    </row>
    <row r="173" ht="22.5" customHeight="1">
      <c r="A173" s="5" t="s">
        <v>295</v>
      </c>
      <c r="B173" s="6">
        <v>46065.0</v>
      </c>
      <c r="C173" s="5" t="s">
        <v>102</v>
      </c>
      <c r="D173" s="5" t="s">
        <v>127</v>
      </c>
      <c r="E173" s="7" t="s">
        <v>7</v>
      </c>
      <c r="F173" s="8">
        <v>18.0</v>
      </c>
      <c r="G173" s="8">
        <v>3800.0</v>
      </c>
      <c r="H173" s="8">
        <v>2500.0</v>
      </c>
    </row>
    <row r="174" ht="22.5" customHeight="1">
      <c r="A174" s="5" t="s">
        <v>296</v>
      </c>
      <c r="B174" s="6">
        <v>46050.0</v>
      </c>
      <c r="C174" s="5" t="s">
        <v>133</v>
      </c>
      <c r="D174" s="5" t="s">
        <v>127</v>
      </c>
      <c r="E174" s="7" t="s">
        <v>56</v>
      </c>
      <c r="F174" s="8">
        <v>4.0</v>
      </c>
      <c r="G174" s="8">
        <v>32000.0</v>
      </c>
      <c r="H174" s="8">
        <v>21000.0</v>
      </c>
    </row>
    <row r="175" ht="22.5" customHeight="1">
      <c r="A175" s="5" t="s">
        <v>297</v>
      </c>
      <c r="B175" s="6">
        <v>46030.0</v>
      </c>
      <c r="C175" s="5" t="s">
        <v>103</v>
      </c>
      <c r="D175" s="5" t="s">
        <v>127</v>
      </c>
      <c r="E175" s="7" t="s">
        <v>7</v>
      </c>
      <c r="F175" s="8">
        <v>7.0</v>
      </c>
      <c r="G175" s="8">
        <v>3800.0</v>
      </c>
      <c r="H175" s="8">
        <v>2500.0</v>
      </c>
    </row>
    <row r="176" ht="22.5" customHeight="1">
      <c r="A176" s="5" t="s">
        <v>298</v>
      </c>
      <c r="B176" s="6">
        <v>46072.0</v>
      </c>
      <c r="C176" s="5" t="s">
        <v>133</v>
      </c>
      <c r="D176" s="5" t="s">
        <v>141</v>
      </c>
      <c r="E176" s="7" t="s">
        <v>64</v>
      </c>
      <c r="F176" s="8">
        <v>4.0</v>
      </c>
      <c r="G176" s="8">
        <v>6200.0</v>
      </c>
      <c r="H176" s="8">
        <v>3800.0</v>
      </c>
    </row>
    <row r="177" ht="22.5" customHeight="1">
      <c r="A177" s="5" t="s">
        <v>299</v>
      </c>
      <c r="B177" s="6">
        <v>46043.0</v>
      </c>
      <c r="C177" s="5" t="s">
        <v>108</v>
      </c>
      <c r="D177" s="5" t="s">
        <v>90</v>
      </c>
      <c r="E177" s="7" t="s">
        <v>92</v>
      </c>
      <c r="F177" s="8">
        <v>3.0</v>
      </c>
      <c r="G177" s="8">
        <v>8500.0</v>
      </c>
      <c r="H177" s="8">
        <v>4800.0</v>
      </c>
    </row>
    <row r="178" ht="22.5" customHeight="1">
      <c r="A178" s="5" t="s">
        <v>300</v>
      </c>
      <c r="B178" s="6">
        <v>46112.0</v>
      </c>
      <c r="C178" s="5" t="s">
        <v>88</v>
      </c>
      <c r="D178" s="5" t="s">
        <v>90</v>
      </c>
      <c r="E178" s="7" t="s">
        <v>7</v>
      </c>
      <c r="F178" s="8">
        <v>5.0</v>
      </c>
      <c r="G178" s="8">
        <v>3800.0</v>
      </c>
      <c r="H178" s="8">
        <v>2500.0</v>
      </c>
    </row>
    <row r="179" ht="22.5" customHeight="1">
      <c r="A179" s="5" t="s">
        <v>301</v>
      </c>
      <c r="B179" s="6">
        <v>46031.0</v>
      </c>
      <c r="C179" s="5" t="s">
        <v>118</v>
      </c>
      <c r="D179" s="5" t="s">
        <v>100</v>
      </c>
      <c r="E179" s="7" t="s">
        <v>25</v>
      </c>
      <c r="F179" s="8">
        <v>22.0</v>
      </c>
      <c r="G179" s="8">
        <v>19500.0</v>
      </c>
      <c r="H179" s="8">
        <v>12000.0</v>
      </c>
    </row>
    <row r="180" ht="22.5" customHeight="1">
      <c r="A180" s="5" t="s">
        <v>302</v>
      </c>
      <c r="B180" s="6">
        <v>46050.0</v>
      </c>
      <c r="C180" s="5" t="s">
        <v>102</v>
      </c>
      <c r="D180" s="5" t="s">
        <v>127</v>
      </c>
      <c r="E180" s="7" t="s">
        <v>71</v>
      </c>
      <c r="F180" s="8">
        <v>4.0</v>
      </c>
      <c r="G180" s="8">
        <v>22000.0</v>
      </c>
      <c r="H180" s="8">
        <v>14000.0</v>
      </c>
    </row>
    <row r="181" ht="22.5" customHeight="1">
      <c r="A181" s="5" t="s">
        <v>303</v>
      </c>
      <c r="B181" s="6">
        <v>46073.0</v>
      </c>
      <c r="C181" s="5" t="s">
        <v>103</v>
      </c>
      <c r="D181" s="5" t="s">
        <v>100</v>
      </c>
      <c r="E181" s="7" t="s">
        <v>7</v>
      </c>
      <c r="F181" s="8">
        <v>18.0</v>
      </c>
      <c r="G181" s="8">
        <v>3800.0</v>
      </c>
      <c r="H181" s="8">
        <v>2500.0</v>
      </c>
    </row>
    <row r="182" ht="22.5" customHeight="1">
      <c r="A182" s="5" t="s">
        <v>304</v>
      </c>
      <c r="B182" s="6">
        <v>46084.0</v>
      </c>
      <c r="C182" s="5" t="s">
        <v>133</v>
      </c>
      <c r="D182" s="5" t="s">
        <v>106</v>
      </c>
      <c r="E182" s="7" t="s">
        <v>46</v>
      </c>
      <c r="F182" s="8">
        <v>25.0</v>
      </c>
      <c r="G182" s="8">
        <v>18500.0</v>
      </c>
      <c r="H182" s="8">
        <v>12500.0</v>
      </c>
    </row>
    <row r="183" ht="22.5" customHeight="1">
      <c r="A183" s="5" t="s">
        <v>305</v>
      </c>
      <c r="B183" s="6">
        <v>46076.0</v>
      </c>
      <c r="C183" s="5" t="s">
        <v>99</v>
      </c>
      <c r="D183" s="5" t="s">
        <v>90</v>
      </c>
      <c r="E183" s="7" t="s">
        <v>257</v>
      </c>
      <c r="F183" s="8">
        <v>9.0</v>
      </c>
      <c r="G183" s="8">
        <v>19500.0</v>
      </c>
      <c r="H183" s="8">
        <v>12000.0</v>
      </c>
    </row>
    <row r="184" ht="22.5" customHeight="1">
      <c r="A184" s="5" t="s">
        <v>306</v>
      </c>
      <c r="B184" s="6">
        <v>46031.0</v>
      </c>
      <c r="C184" s="5" t="s">
        <v>102</v>
      </c>
      <c r="D184" s="5" t="s">
        <v>113</v>
      </c>
      <c r="E184" s="7" t="s">
        <v>67</v>
      </c>
      <c r="F184" s="8">
        <v>6.0</v>
      </c>
      <c r="G184" s="8">
        <v>3100.0</v>
      </c>
      <c r="H184" s="8">
        <v>1800.0</v>
      </c>
    </row>
    <row r="185" ht="22.5" customHeight="1">
      <c r="A185" s="5" t="s">
        <v>307</v>
      </c>
      <c r="B185" s="6">
        <v>46085.0</v>
      </c>
      <c r="C185" s="5" t="s">
        <v>118</v>
      </c>
      <c r="D185" s="5" t="s">
        <v>90</v>
      </c>
      <c r="E185" s="7" t="s">
        <v>34</v>
      </c>
      <c r="F185" s="8">
        <v>3.0</v>
      </c>
      <c r="G185" s="8">
        <v>4800.0</v>
      </c>
      <c r="H185" s="8">
        <v>2700.0</v>
      </c>
    </row>
    <row r="186" ht="22.5" customHeight="1">
      <c r="A186" s="5" t="s">
        <v>308</v>
      </c>
      <c r="B186" s="6">
        <v>46043.0</v>
      </c>
      <c r="C186" s="5" t="s">
        <v>108</v>
      </c>
      <c r="D186" s="5" t="s">
        <v>113</v>
      </c>
      <c r="E186" s="7" t="s">
        <v>71</v>
      </c>
      <c r="F186" s="8">
        <v>11.0</v>
      </c>
      <c r="G186" s="8">
        <v>22000.0</v>
      </c>
      <c r="H186" s="8">
        <v>14000.0</v>
      </c>
    </row>
    <row r="187" ht="22.5" customHeight="1">
      <c r="A187" s="5" t="s">
        <v>309</v>
      </c>
      <c r="B187" s="6">
        <v>46066.0</v>
      </c>
      <c r="C187" s="5" t="s">
        <v>108</v>
      </c>
      <c r="D187" s="5" t="s">
        <v>115</v>
      </c>
      <c r="E187" s="7" t="s">
        <v>25</v>
      </c>
      <c r="F187" s="8">
        <v>2.0</v>
      </c>
      <c r="G187" s="8">
        <v>19500.0</v>
      </c>
      <c r="H187" s="8">
        <v>12000.0</v>
      </c>
    </row>
    <row r="188" ht="22.5" customHeight="1">
      <c r="A188" s="5" t="s">
        <v>310</v>
      </c>
      <c r="B188" s="6">
        <v>46030.0</v>
      </c>
      <c r="C188" s="5" t="s">
        <v>99</v>
      </c>
      <c r="D188" s="5" t="s">
        <v>141</v>
      </c>
      <c r="E188" s="7" t="s">
        <v>13</v>
      </c>
      <c r="F188" s="8">
        <v>7.0</v>
      </c>
      <c r="G188" s="8">
        <v>35000.0</v>
      </c>
      <c r="H188" s="8">
        <v>24000.0</v>
      </c>
    </row>
    <row r="189" ht="22.5" customHeight="1">
      <c r="A189" s="5" t="s">
        <v>311</v>
      </c>
      <c r="B189" s="6">
        <v>46093.0</v>
      </c>
      <c r="C189" s="5" t="s">
        <v>118</v>
      </c>
      <c r="D189" s="5" t="s">
        <v>90</v>
      </c>
      <c r="E189" s="7" t="s">
        <v>38</v>
      </c>
      <c r="F189" s="8">
        <v>17.0</v>
      </c>
      <c r="G189" s="8">
        <v>29500.0</v>
      </c>
      <c r="H189" s="8">
        <v>20000.0</v>
      </c>
    </row>
    <row r="190" ht="22.5" customHeight="1">
      <c r="A190" s="5" t="s">
        <v>312</v>
      </c>
      <c r="B190" s="6">
        <v>46112.0</v>
      </c>
      <c r="C190" s="5" t="s">
        <v>88</v>
      </c>
      <c r="D190" s="5" t="s">
        <v>100</v>
      </c>
      <c r="E190" s="7" t="s">
        <v>7</v>
      </c>
      <c r="F190" s="8">
        <v>7.0</v>
      </c>
      <c r="G190" s="8">
        <v>3800.0</v>
      </c>
      <c r="H190" s="8">
        <v>2500.0</v>
      </c>
    </row>
    <row r="191" ht="22.5" customHeight="1">
      <c r="A191" s="5" t="s">
        <v>313</v>
      </c>
      <c r="B191" s="6">
        <v>46027.0</v>
      </c>
      <c r="C191" s="5" t="s">
        <v>88</v>
      </c>
      <c r="D191" s="5" t="s">
        <v>141</v>
      </c>
      <c r="E191" s="7" t="s">
        <v>110</v>
      </c>
      <c r="F191" s="8">
        <v>6.0</v>
      </c>
      <c r="G191" s="8">
        <v>9200.0</v>
      </c>
      <c r="H191" s="8">
        <v>5500.0</v>
      </c>
    </row>
    <row r="192" ht="22.5" customHeight="1">
      <c r="A192" s="5" t="s">
        <v>314</v>
      </c>
      <c r="B192" s="6">
        <v>46046.0</v>
      </c>
      <c r="C192" s="5" t="s">
        <v>99</v>
      </c>
      <c r="D192" s="5" t="s">
        <v>127</v>
      </c>
      <c r="E192" s="7" t="s">
        <v>161</v>
      </c>
      <c r="F192" s="8">
        <v>12.0</v>
      </c>
      <c r="G192" s="8">
        <v>3800.0</v>
      </c>
      <c r="H192" s="8">
        <v>2500.0</v>
      </c>
    </row>
    <row r="193" ht="22.5" customHeight="1">
      <c r="A193" s="5" t="s">
        <v>315</v>
      </c>
      <c r="B193" s="6">
        <v>46092.0</v>
      </c>
      <c r="C193" s="5" t="s">
        <v>88</v>
      </c>
      <c r="D193" s="5" t="s">
        <v>141</v>
      </c>
      <c r="E193" s="7" t="s">
        <v>67</v>
      </c>
      <c r="F193" s="8">
        <v>11.0</v>
      </c>
      <c r="G193" s="8">
        <v>3100.0</v>
      </c>
      <c r="H193" s="8">
        <v>1800.0</v>
      </c>
    </row>
    <row r="194" ht="22.5" customHeight="1">
      <c r="A194" s="5" t="s">
        <v>316</v>
      </c>
      <c r="B194" s="6">
        <v>46029.0</v>
      </c>
      <c r="C194" s="5" t="s">
        <v>102</v>
      </c>
      <c r="D194" s="5" t="s">
        <v>100</v>
      </c>
      <c r="E194" s="7" t="s">
        <v>71</v>
      </c>
      <c r="F194" s="8">
        <v>11.0</v>
      </c>
      <c r="G194" s="8">
        <v>22000.0</v>
      </c>
      <c r="H194" s="8">
        <v>14000.0</v>
      </c>
    </row>
    <row r="195" ht="22.5" customHeight="1">
      <c r="A195" s="5" t="s">
        <v>317</v>
      </c>
      <c r="B195" s="6">
        <v>46025.0</v>
      </c>
      <c r="C195" s="5" t="s">
        <v>102</v>
      </c>
      <c r="D195" s="5" t="s">
        <v>100</v>
      </c>
      <c r="E195" s="7" t="s">
        <v>56</v>
      </c>
      <c r="F195" s="8">
        <v>4.0</v>
      </c>
      <c r="G195" s="8">
        <v>32000.0</v>
      </c>
      <c r="H195" s="8">
        <v>21000.0</v>
      </c>
    </row>
    <row r="196" ht="22.5" customHeight="1">
      <c r="A196" s="5" t="s">
        <v>318</v>
      </c>
      <c r="B196" s="6">
        <v>46057.0</v>
      </c>
      <c r="C196" s="5" t="s">
        <v>103</v>
      </c>
      <c r="D196" s="5" t="s">
        <v>113</v>
      </c>
      <c r="E196" s="7" t="s">
        <v>42</v>
      </c>
      <c r="F196" s="8">
        <v>8.0</v>
      </c>
      <c r="G196" s="8">
        <v>45000.0</v>
      </c>
      <c r="H196" s="8">
        <v>30000.0</v>
      </c>
    </row>
    <row r="197" ht="22.5" customHeight="1">
      <c r="A197" s="5" t="s">
        <v>319</v>
      </c>
      <c r="B197" s="6">
        <v>46079.0</v>
      </c>
      <c r="C197" s="5" t="s">
        <v>99</v>
      </c>
      <c r="D197" s="5" t="s">
        <v>127</v>
      </c>
      <c r="E197" s="7" t="s">
        <v>51</v>
      </c>
      <c r="F197" s="8">
        <v>25.0</v>
      </c>
      <c r="G197" s="8">
        <v>8500.0</v>
      </c>
      <c r="H197" s="8">
        <v>4800.0</v>
      </c>
    </row>
    <row r="198" ht="22.5" customHeight="1">
      <c r="A198" s="5" t="s">
        <v>320</v>
      </c>
      <c r="B198" s="6">
        <v>46074.0</v>
      </c>
      <c r="C198" s="5" t="s">
        <v>108</v>
      </c>
      <c r="D198" s="5" t="s">
        <v>100</v>
      </c>
      <c r="E198" s="7" t="s">
        <v>60</v>
      </c>
      <c r="F198" s="8">
        <v>7.0</v>
      </c>
      <c r="G198" s="8">
        <v>15000.0</v>
      </c>
      <c r="H198" s="8">
        <v>9500.0</v>
      </c>
    </row>
    <row r="199" ht="22.5" customHeight="1">
      <c r="A199" s="5" t="s">
        <v>321</v>
      </c>
      <c r="B199" s="6">
        <v>46027.0</v>
      </c>
      <c r="C199" s="5" t="s">
        <v>108</v>
      </c>
      <c r="D199" s="5" t="s">
        <v>106</v>
      </c>
      <c r="E199" s="7" t="s">
        <v>56</v>
      </c>
      <c r="F199" s="8">
        <v>15.0</v>
      </c>
      <c r="G199" s="8">
        <v>32000.0</v>
      </c>
      <c r="H199" s="8">
        <v>21000.0</v>
      </c>
    </row>
    <row r="200" ht="22.5" customHeight="1">
      <c r="A200" s="5" t="s">
        <v>322</v>
      </c>
      <c r="B200" s="6">
        <v>46070.0</v>
      </c>
      <c r="C200" s="5" t="s">
        <v>99</v>
      </c>
      <c r="D200" s="5" t="s">
        <v>90</v>
      </c>
      <c r="E200" s="7" t="s">
        <v>19</v>
      </c>
      <c r="F200" s="8">
        <v>20.0</v>
      </c>
      <c r="G200" s="8">
        <v>28000.0</v>
      </c>
      <c r="H200" s="8">
        <v>18000.0</v>
      </c>
    </row>
    <row r="201" ht="22.5" customHeight="1">
      <c r="A201" s="5" t="s">
        <v>323</v>
      </c>
      <c r="B201" s="6">
        <v>46075.0</v>
      </c>
      <c r="C201" s="5" t="s">
        <v>88</v>
      </c>
      <c r="D201" s="5" t="s">
        <v>141</v>
      </c>
      <c r="E201" s="7" t="s">
        <v>51</v>
      </c>
      <c r="F201" s="8">
        <v>10.0</v>
      </c>
      <c r="G201" s="8">
        <v>8500.0</v>
      </c>
      <c r="H201" s="8">
        <v>4800.0</v>
      </c>
    </row>
  </sheetData>
  <dataValidations>
    <dataValidation type="list" allowBlank="1" showDropDown="1" showErrorMessage="1" sqref="D2:D201">
      <formula1>"Ana Martinez,Juan Perez,ANA MARTINEZ,MARIA GOMEZ,juan perez,carlos ruiz,Carlos Ruiz"</formula1>
    </dataValidation>
    <dataValidation type="list" allowBlank="1" showDropDown="1" showErrorMessage="1" sqref="C2:C201">
      <formula1>"Corrientes,Posadas,Resistencia,CORRIENTES,Formosa,POSADAS,resistencia"</formula1>
    </dataValidation>
    <dataValidation type="custom" allowBlank="1" showDropDown="1" sqref="B2:B201">
      <formula1>OR(NOT(ISERROR(DATEVALUE(B2))), AND(ISNUMBER(B2), LEFT(CELL("format", B2))="D"))</formula1>
    </dataValidation>
    <dataValidation type="list" allowBlank="1" showDropDown="1" showErrorMessage="1" sqref="A2:A201">
      <formula1>"TRX-1001,TRX-1002,TRX-1003,TRX-1004,TRX-1005,TRX-1006,TRX-1007,TRX-1008,TRX-1009,TRX-1010,TRX-1011,TRX-1012,TRX-1013,TRX-1014,TRX-1015,TRX-1016,TRX-1017,TRX-1018,TRX-1019,TRX-1020,TRX-1021,TRX-1022,TRX-1023,TRX-1024,TRX-1025,TRX-1026,TRX-1027,TRX-1028,TRX"&amp;"-1029,TRX-1030,TRX-1031,TRX-1032,TRX-1033,TRX-1034,TRX-1035,TRX-1036,TRX-1037,TRX-1038,TRX-1039,TRX-1040,TRX-1041,TRX-1042,TRX-1043,TRX-1044,TRX-1045,TRX-1046,TRX-1047,TRX-1048,TRX-1049,TRX-1050,TRX-1051,TRX-1052,TRX-1053,TRX-1054,TRX-1055,TRX-1056,TRX-10"&amp;"57,TRX-1058,TRX-1059,TRX-1060,TRX-1061,TRX-1062,TRX-1063,TRX-1064,TRX-1065,TRX-1066,TRX-1067,TRX-1068,TRX-1069,TRX-1070,TRX-1071,TRX-1072,TRX-1073,TRX-1074,TRX-1075,TRX-1076,TRX-1077,TRX-1078,TRX-1079,TRX-1080,TRX-1081,TRX-1082,TRX-1083,TRX-1084,TRX-1085,"&amp;"TRX-1086,TRX-1087,TRX-1088,TRX-1089,TRX-1090,TRX-1091,TRX-1092,TRX-1093,TRX-1094,TRX-1095,TRX-1096,TRX-1097,TRX-1098,TRX-1099,TRX-1100,TRX-1101,TRX-1102,TRX-1103,TRX-1104,TRX-1105,TRX-1106,TRX-1107,TRX-1108,TRX-1109,TRX-1110,TRX-1111,TRX-1112,TRX-1113,TRX"&amp;"-1114,TRX-1115,TRX-1116,TRX-1117,TRX-1118,TRX-1119,TRX-1120,TRX-1121,TRX-1122,TRX-1123,TRX-1124,TRX-1125,TRX-1126,TRX-1127,TRX-1128,TRX-1129,TRX-1130,TRX-1131,TRX-1132,TRX-1133,TRX-1134,TRX-1135,TRX-1136,TRX-1137,TRX-1138,TRX-1139,TRX-1140,TRX-1141,TRX-11"&amp;"42,TRX-1143,TRX-1144,TRX-1145,TRX-1146,TRX-1147,TRX-1148,TRX-1149,TRX-1150,TRX-1151,TRX-1152,TRX-1153,TRX-1154,TRX-1155,TRX-1156,TRX-1157,TRX-1158,TRX-1159,TRX-1160,TRX-1161,TRX-1162,TRX-1163,TRX-1164,TRX-1165,TRX-1166,TRX-1167,TRX-1168,TRX-1169,TRX-1170,"&amp;"TRX-1171,TRX-1172,TRX-1173,TRX-1174,TRX-1175,TRX-1176,TRX-1177,TRX-1178,TRX-1179,TRX-1180,TRX-1181,TRX-1182,TRX-1183,TRX-1184,TRX-1185,TRX-1186,TRX-1187,TRX-1188,TRX-1189,TRX-1190,TRX-1191,TRX-1192,TRX-1193,TRX-1194,TRX-1195,TRX-1196,TRX-1197,TRX-1198,TRX"&amp;"-1199,TRX-1200"</formula1>
    </dataValidation>
    <dataValidation type="custom" allowBlank="1" showDropDown="1" sqref="F2:H201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1" t="s">
        <v>20</v>
      </c>
      <c r="D5" s="1" t="s">
        <v>21</v>
      </c>
      <c r="E5" s="2" t="s">
        <v>26</v>
      </c>
      <c r="F5" s="2" t="s">
        <v>27</v>
      </c>
    </row>
    <row r="6">
      <c r="A6" s="1" t="s">
        <v>28</v>
      </c>
      <c r="B6" s="1" t="s">
        <v>29</v>
      </c>
      <c r="C6" s="1" t="s">
        <v>14</v>
      </c>
      <c r="D6" s="1" t="s">
        <v>30</v>
      </c>
      <c r="E6" s="2" t="s">
        <v>31</v>
      </c>
      <c r="F6" s="2" t="s">
        <v>32</v>
      </c>
    </row>
    <row r="7">
      <c r="A7" s="1" t="s">
        <v>33</v>
      </c>
      <c r="B7" s="1" t="s">
        <v>34</v>
      </c>
      <c r="C7" s="1" t="s">
        <v>14</v>
      </c>
      <c r="D7" s="1" t="s">
        <v>30</v>
      </c>
      <c r="E7" s="2" t="s">
        <v>35</v>
      </c>
      <c r="F7" s="2" t="s">
        <v>36</v>
      </c>
    </row>
    <row r="8">
      <c r="A8" s="1" t="s">
        <v>37</v>
      </c>
      <c r="B8" s="1" t="s">
        <v>38</v>
      </c>
      <c r="C8" s="1" t="s">
        <v>14</v>
      </c>
      <c r="D8" s="1" t="s">
        <v>15</v>
      </c>
      <c r="E8" s="2" t="s">
        <v>39</v>
      </c>
      <c r="F8" s="2" t="s">
        <v>40</v>
      </c>
    </row>
    <row r="9">
      <c r="A9" s="1" t="s">
        <v>41</v>
      </c>
      <c r="B9" s="1" t="s">
        <v>42</v>
      </c>
      <c r="C9" s="1" t="s">
        <v>20</v>
      </c>
      <c r="D9" s="1" t="s">
        <v>21</v>
      </c>
      <c r="E9" s="2" t="s">
        <v>43</v>
      </c>
      <c r="F9" s="2" t="s">
        <v>44</v>
      </c>
    </row>
    <row r="10">
      <c r="A10" s="1" t="s">
        <v>45</v>
      </c>
      <c r="B10" s="1" t="s">
        <v>46</v>
      </c>
      <c r="C10" s="1" t="s">
        <v>8</v>
      </c>
      <c r="D10" s="1" t="s">
        <v>47</v>
      </c>
      <c r="E10" s="2" t="s">
        <v>48</v>
      </c>
      <c r="F10" s="2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2" t="s">
        <v>54</v>
      </c>
      <c r="F11" s="2" t="s">
        <v>35</v>
      </c>
    </row>
    <row r="12">
      <c r="A12" s="1" t="s">
        <v>55</v>
      </c>
      <c r="B12" s="1" t="s">
        <v>56</v>
      </c>
      <c r="C12" s="1" t="s">
        <v>52</v>
      </c>
      <c r="D12" s="1" t="s">
        <v>47</v>
      </c>
      <c r="E12" s="2" t="s">
        <v>57</v>
      </c>
      <c r="F12" s="2" t="s">
        <v>58</v>
      </c>
    </row>
    <row r="13">
      <c r="A13" s="1" t="s">
        <v>59</v>
      </c>
      <c r="B13" s="1" t="s">
        <v>60</v>
      </c>
      <c r="C13" s="1" t="s">
        <v>20</v>
      </c>
      <c r="D13" s="1" t="s">
        <v>21</v>
      </c>
      <c r="E13" s="2" t="s">
        <v>61</v>
      </c>
      <c r="F13" s="2" t="s">
        <v>62</v>
      </c>
    </row>
    <row r="14">
      <c r="A14" s="1" t="s">
        <v>63</v>
      </c>
      <c r="B14" s="1" t="s">
        <v>64</v>
      </c>
      <c r="C14" s="1" t="s">
        <v>14</v>
      </c>
      <c r="D14" s="1" t="s">
        <v>30</v>
      </c>
      <c r="E14" s="2" t="s">
        <v>65</v>
      </c>
      <c r="F14" s="2" t="s">
        <v>10</v>
      </c>
    </row>
    <row r="15">
      <c r="A15" s="1" t="s">
        <v>66</v>
      </c>
      <c r="B15" s="1" t="s">
        <v>67</v>
      </c>
      <c r="C15" s="1" t="s">
        <v>14</v>
      </c>
      <c r="D15" s="1" t="s">
        <v>15</v>
      </c>
      <c r="E15" s="2" t="s">
        <v>68</v>
      </c>
      <c r="F15" s="2" t="s">
        <v>69</v>
      </c>
    </row>
    <row r="16">
      <c r="A16" s="1" t="s">
        <v>70</v>
      </c>
      <c r="B16" s="1" t="s">
        <v>71</v>
      </c>
      <c r="C16" s="1" t="s">
        <v>20</v>
      </c>
      <c r="D16" s="1" t="s">
        <v>21</v>
      </c>
      <c r="E16" s="2" t="s">
        <v>72</v>
      </c>
      <c r="F16" s="2" t="s">
        <v>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11.75"/>
    <col customWidth="1" min="3" max="3" width="11.0"/>
    <col customWidth="1" min="4" max="4" width="15.63"/>
    <col customWidth="1" min="5" max="5" width="17.75"/>
    <col customWidth="1" min="6" max="6" width="25.88"/>
    <col customWidth="1" min="7" max="7" width="9.88"/>
    <col customWidth="1" min="8" max="8" width="15.88"/>
    <col customWidth="1" min="9" max="10" width="16.63"/>
    <col customWidth="1" min="11" max="11" width="15.13"/>
    <col customWidth="1" min="12" max="12" width="18.38"/>
    <col customWidth="1" min="13" max="13" width="25.88"/>
    <col customWidth="1" min="14" max="14" width="21.63"/>
    <col customWidth="1" min="15" max="15" width="16.38"/>
    <col customWidth="1" min="16" max="16" width="13.63"/>
    <col customWidth="1" min="17" max="17" width="11.5"/>
    <col customWidth="1" min="18" max="18" width="16.75"/>
  </cols>
  <sheetData>
    <row r="1" ht="22.5" customHeight="1">
      <c r="A1" s="3" t="s">
        <v>74</v>
      </c>
      <c r="B1" s="3" t="s">
        <v>76</v>
      </c>
      <c r="C1" s="3" t="s">
        <v>75</v>
      </c>
      <c r="D1" s="3" t="s">
        <v>77</v>
      </c>
      <c r="E1" s="3" t="s">
        <v>78</v>
      </c>
      <c r="F1" s="3" t="s">
        <v>1</v>
      </c>
      <c r="G1" s="3" t="s">
        <v>79</v>
      </c>
      <c r="H1" s="3" t="s">
        <v>80</v>
      </c>
      <c r="I1" s="3" t="s">
        <v>81</v>
      </c>
      <c r="J1" s="3" t="s">
        <v>82</v>
      </c>
      <c r="K1" s="4" t="s">
        <v>83</v>
      </c>
      <c r="L1" s="3" t="s">
        <v>85</v>
      </c>
      <c r="M1" s="3" t="s">
        <v>86</v>
      </c>
      <c r="N1" s="3" t="s">
        <v>87</v>
      </c>
      <c r="O1" s="3" t="s">
        <v>89</v>
      </c>
      <c r="P1" s="3" t="s">
        <v>91</v>
      </c>
      <c r="Q1" s="3" t="s">
        <v>93</v>
      </c>
      <c r="R1" s="3" t="s">
        <v>94</v>
      </c>
      <c r="S1" s="9" t="s">
        <v>95</v>
      </c>
    </row>
    <row r="2" ht="22.5" customHeight="1">
      <c r="A2" s="5" t="s">
        <v>84</v>
      </c>
      <c r="B2" s="8">
        <f t="shared" ref="B2:B201" si="2">LEN(A2)</f>
        <v>8</v>
      </c>
      <c r="C2" s="6">
        <v>46111.0</v>
      </c>
      <c r="D2" s="5" t="s">
        <v>88</v>
      </c>
      <c r="E2" s="5" t="s">
        <v>90</v>
      </c>
      <c r="F2" s="7" t="s">
        <v>92</v>
      </c>
      <c r="G2" s="8">
        <v>8.0</v>
      </c>
      <c r="H2" s="8">
        <v>8500.0</v>
      </c>
      <c r="I2" s="8">
        <v>4800.0</v>
      </c>
      <c r="J2" s="10" t="str">
        <f t="shared" ref="J2:J201" si="3">TRIM(PROPER(D2) )</f>
        <v>Corrientes</v>
      </c>
      <c r="K2" s="11">
        <f t="shared" ref="K2:K201" si="4">IF(G2&lt;=0,1,G2)</f>
        <v>8</v>
      </c>
      <c r="L2" s="10" t="str">
        <f t="shared" ref="L2:M2" si="1">PROPER(E2)</f>
        <v>Ana Martinez</v>
      </c>
      <c r="M2" s="10" t="str">
        <f t="shared" si="1"/>
        <v>Mates De Madera Calada</v>
      </c>
      <c r="N2" s="10" t="str">
        <f t="array" ref="N2">IFERROR(_xlfn.XLOOKUP(M2, Maestro_productos_15!$B:$B, Maestro_productos_15!$D:$D), "No encontrado")</f>
        <v>Artesanías Guaraníes</v>
      </c>
      <c r="O2" s="10" t="str">
        <f t="array" ref="O2">IFERROR(_xlfn.XLOOKUP(M2,Maestro_productos_15!$B:$B,Maestro_productos_15!$C:$C), "Sin Categoria")</f>
        <v>Bazar</v>
      </c>
      <c r="P2" s="11">
        <f t="shared" ref="P2:P201" si="6">H2*G2</f>
        <v>68000</v>
      </c>
      <c r="Q2" s="11">
        <f t="shared" ref="Q2:Q201" si="7">I2*G2</f>
        <v>38400</v>
      </c>
      <c r="R2" s="11">
        <f t="shared" ref="R2:R201" si="8">P2-Q2</f>
        <v>29600</v>
      </c>
      <c r="S2" s="13">
        <f t="shared" ref="S2:S201" si="9">IFS(AND(H2&gt;25000, J2="Corrientes"),K2*H2*0.06, H2&gt;25000,K2*H2*0.04, TRUE, K2*H2*0.02)</f>
        <v>1360</v>
      </c>
    </row>
    <row r="3" ht="22.5" customHeight="1">
      <c r="A3" s="5" t="s">
        <v>98</v>
      </c>
      <c r="B3" s="8">
        <f t="shared" si="2"/>
        <v>8</v>
      </c>
      <c r="C3" s="6">
        <v>46106.0</v>
      </c>
      <c r="D3" s="5" t="s">
        <v>99</v>
      </c>
      <c r="E3" s="5" t="s">
        <v>100</v>
      </c>
      <c r="F3" s="7" t="s">
        <v>101</v>
      </c>
      <c r="G3" s="8">
        <v>2.0</v>
      </c>
      <c r="H3" s="8">
        <v>32000.0</v>
      </c>
      <c r="I3" s="8">
        <v>21000.0</v>
      </c>
      <c r="J3" s="10" t="str">
        <f t="shared" si="3"/>
        <v>Posadas</v>
      </c>
      <c r="K3" s="11">
        <f t="shared" si="4"/>
        <v>2</v>
      </c>
      <c r="L3" s="10" t="str">
        <f t="shared" ref="L3:M3" si="5">PROPER(E3)</f>
        <v>Juan Perez</v>
      </c>
      <c r="M3" s="10" t="str">
        <f t="shared" si="5"/>
        <v>Termo Acero Inoxidable 1.3L</v>
      </c>
      <c r="N3" s="10" t="str">
        <f t="array" ref="N3">IFERROR(_xlfn.XLOOKUP(M3, Maestro_productos_15!$B:$B, Maestro_productos_15!$D:$D), "No encontrado")</f>
        <v>Distribuidora del Nordeste</v>
      </c>
      <c r="O3" s="10" t="str">
        <f t="array" ref="O3">IFERROR(_xlfn.XLOOKUP(M3,Maestro_productos_15!$B:$B,Maestro_productos_15!$C:$C), "Sin Categoria")</f>
        <v>Bazar</v>
      </c>
      <c r="P3" s="11">
        <f t="shared" si="6"/>
        <v>64000</v>
      </c>
      <c r="Q3" s="11">
        <f t="shared" si="7"/>
        <v>42000</v>
      </c>
      <c r="R3" s="11">
        <f t="shared" si="8"/>
        <v>22000</v>
      </c>
      <c r="S3" s="15">
        <f t="shared" si="9"/>
        <v>2560</v>
      </c>
    </row>
    <row r="4" ht="22.5" customHeight="1">
      <c r="A4" s="5" t="s">
        <v>104</v>
      </c>
      <c r="B4" s="8">
        <f t="shared" si="2"/>
        <v>8</v>
      </c>
      <c r="C4" s="6">
        <v>46082.0</v>
      </c>
      <c r="D4" s="5" t="s">
        <v>99</v>
      </c>
      <c r="E4" s="5" t="s">
        <v>100</v>
      </c>
      <c r="F4" s="7" t="s">
        <v>60</v>
      </c>
      <c r="G4" s="8">
        <v>23.0</v>
      </c>
      <c r="H4" s="8">
        <v>15000.0</v>
      </c>
      <c r="I4" s="8">
        <v>9500.0</v>
      </c>
      <c r="J4" s="10" t="str">
        <f t="shared" si="3"/>
        <v>Posadas</v>
      </c>
      <c r="K4" s="11">
        <f t="shared" si="4"/>
        <v>23</v>
      </c>
      <c r="L4" s="10" t="str">
        <f t="shared" ref="L4:M4" si="10">PROPER(E4)</f>
        <v>Juan Perez</v>
      </c>
      <c r="M4" s="10" t="str">
        <f t="shared" si="10"/>
        <v>Mouse Inalámbrico Ergonómico</v>
      </c>
      <c r="N4" s="10" t="str">
        <f t="array" ref="N4">IFERROR(_xlfn.XLOOKUP(M4, Maestro_productos_15!$B:$B, Maestro_productos_15!$D:$D), "No encontrado")</f>
        <v>TechImport S.R.L.</v>
      </c>
      <c r="O4" s="10" t="str">
        <f t="array" ref="O4">IFERROR(_xlfn.XLOOKUP(M4,Maestro_productos_15!$B:$B,Maestro_productos_15!$C:$C), "Sin Categoria")</f>
        <v>Tecnología</v>
      </c>
      <c r="P4" s="11">
        <f t="shared" si="6"/>
        <v>345000</v>
      </c>
      <c r="Q4" s="11">
        <f t="shared" si="7"/>
        <v>218500</v>
      </c>
      <c r="R4" s="11">
        <f t="shared" si="8"/>
        <v>126500</v>
      </c>
      <c r="S4" s="15">
        <f t="shared" si="9"/>
        <v>6900</v>
      </c>
    </row>
    <row r="5" ht="22.5" customHeight="1">
      <c r="A5" s="5" t="s">
        <v>105</v>
      </c>
      <c r="B5" s="8">
        <f t="shared" si="2"/>
        <v>8</v>
      </c>
      <c r="C5" s="6">
        <v>46107.0</v>
      </c>
      <c r="D5" s="5" t="s">
        <v>102</v>
      </c>
      <c r="E5" s="5" t="s">
        <v>106</v>
      </c>
      <c r="F5" s="7" t="s">
        <v>7</v>
      </c>
      <c r="G5" s="8">
        <v>25.0</v>
      </c>
      <c r="H5" s="8">
        <v>3800.0</v>
      </c>
      <c r="I5" s="8">
        <v>2500.0</v>
      </c>
      <c r="J5" s="10" t="str">
        <f t="shared" si="3"/>
        <v>Resistencia</v>
      </c>
      <c r="K5" s="11">
        <f t="shared" si="4"/>
        <v>25</v>
      </c>
      <c r="L5" s="10" t="str">
        <f t="shared" ref="L5:M5" si="11">PROPER(E5)</f>
        <v>Ana Martinez</v>
      </c>
      <c r="M5" s="10" t="str">
        <f t="shared" si="11"/>
        <v>Yerba Mate Premium 1Kg</v>
      </c>
      <c r="N5" s="10" t="str">
        <f t="array" ref="N5">IFERROR(_xlfn.XLOOKUP(M5, Maestro_productos_15!$B:$B, Maestro_productos_15!$D:$D), "No encontrado")</f>
        <v>Cooperativa Neike</v>
      </c>
      <c r="O5" s="10" t="str">
        <f t="array" ref="O5">IFERROR(_xlfn.XLOOKUP(M5,Maestro_productos_15!$B:$B,Maestro_productos_15!$C:$C), "Sin Categoria")</f>
        <v>Alimentos</v>
      </c>
      <c r="P5" s="11">
        <f t="shared" si="6"/>
        <v>95000</v>
      </c>
      <c r="Q5" s="11">
        <f t="shared" si="7"/>
        <v>62500</v>
      </c>
      <c r="R5" s="11">
        <f t="shared" si="8"/>
        <v>32500</v>
      </c>
      <c r="S5" s="15">
        <f t="shared" si="9"/>
        <v>1900</v>
      </c>
    </row>
    <row r="6" ht="22.5" customHeight="1">
      <c r="A6" s="5" t="s">
        <v>107</v>
      </c>
      <c r="B6" s="8">
        <f t="shared" si="2"/>
        <v>8</v>
      </c>
      <c r="C6" s="6">
        <v>46102.0</v>
      </c>
      <c r="D6" s="5" t="s">
        <v>108</v>
      </c>
      <c r="E6" s="5" t="s">
        <v>106</v>
      </c>
      <c r="F6" s="7" t="s">
        <v>60</v>
      </c>
      <c r="G6" s="8">
        <v>3.0</v>
      </c>
      <c r="H6" s="8">
        <v>15000.0</v>
      </c>
      <c r="I6" s="8">
        <v>9500.0</v>
      </c>
      <c r="J6" s="10" t="str">
        <f t="shared" si="3"/>
        <v>Corrientes</v>
      </c>
      <c r="K6" s="11">
        <f t="shared" si="4"/>
        <v>3</v>
      </c>
      <c r="L6" s="10" t="str">
        <f t="shared" ref="L6:M6" si="12">PROPER(E6)</f>
        <v>Ana Martinez</v>
      </c>
      <c r="M6" s="10" t="str">
        <f t="shared" si="12"/>
        <v>Mouse Inalámbrico Ergonómico</v>
      </c>
      <c r="N6" s="10" t="str">
        <f t="array" ref="N6">IFERROR(_xlfn.XLOOKUP(M6, Maestro_productos_15!$B:$B, Maestro_productos_15!$D:$D), "No encontrado")</f>
        <v>TechImport S.R.L.</v>
      </c>
      <c r="O6" s="10" t="str">
        <f t="array" ref="O6">IFERROR(_xlfn.XLOOKUP(M6,Maestro_productos_15!$B:$B,Maestro_productos_15!$C:$C), "Sin Categoria")</f>
        <v>Tecnología</v>
      </c>
      <c r="P6" s="11">
        <f t="shared" si="6"/>
        <v>45000</v>
      </c>
      <c r="Q6" s="11">
        <f t="shared" si="7"/>
        <v>28500</v>
      </c>
      <c r="R6" s="11">
        <f t="shared" si="8"/>
        <v>16500</v>
      </c>
      <c r="S6" s="15">
        <f t="shared" si="9"/>
        <v>900</v>
      </c>
    </row>
    <row r="7" ht="22.5" customHeight="1">
      <c r="A7" s="5" t="s">
        <v>109</v>
      </c>
      <c r="B7" s="8">
        <f t="shared" si="2"/>
        <v>8</v>
      </c>
      <c r="C7" s="6">
        <v>46051.0</v>
      </c>
      <c r="D7" s="5" t="s">
        <v>103</v>
      </c>
      <c r="E7" s="5" t="s">
        <v>100</v>
      </c>
      <c r="F7" s="7" t="s">
        <v>110</v>
      </c>
      <c r="G7" s="8">
        <v>18.0</v>
      </c>
      <c r="H7" s="8">
        <v>9200.0</v>
      </c>
      <c r="I7" s="8">
        <v>5500.0</v>
      </c>
      <c r="J7" s="10" t="str">
        <f t="shared" si="3"/>
        <v>Formosa</v>
      </c>
      <c r="K7" s="11">
        <f t="shared" si="4"/>
        <v>18</v>
      </c>
      <c r="L7" s="10" t="str">
        <f t="shared" ref="L7:M7" si="13">PROPER(E7)</f>
        <v>Juan Perez</v>
      </c>
      <c r="M7" s="10" t="str">
        <f t="shared" si="13"/>
        <v>Correa Reforzada Canina 3M</v>
      </c>
      <c r="N7" s="10" t="str">
        <f t="array" ref="N7">IFERROR(_xlfn.XLOOKUP(M7, Maestro_productos_15!$B:$B, Maestro_productos_15!$D:$D), "No encontrado")</f>
        <v>PetStyle Litoral</v>
      </c>
      <c r="O7" s="10" t="str">
        <f t="array" ref="O7">IFERROR(_xlfn.XLOOKUP(M7,Maestro_productos_15!$B:$B,Maestro_productos_15!$C:$C), "Sin Categoria")</f>
        <v>Mascotas</v>
      </c>
      <c r="P7" s="11">
        <f t="shared" si="6"/>
        <v>165600</v>
      </c>
      <c r="Q7" s="11">
        <f t="shared" si="7"/>
        <v>99000</v>
      </c>
      <c r="R7" s="11">
        <f t="shared" si="8"/>
        <v>66600</v>
      </c>
      <c r="S7" s="15">
        <f t="shared" si="9"/>
        <v>3312</v>
      </c>
    </row>
    <row r="8" ht="22.5" customHeight="1">
      <c r="A8" s="5" t="s">
        <v>111</v>
      </c>
      <c r="B8" s="8">
        <f t="shared" si="2"/>
        <v>8</v>
      </c>
      <c r="C8" s="6">
        <v>46025.0</v>
      </c>
      <c r="D8" s="5" t="s">
        <v>102</v>
      </c>
      <c r="E8" s="5" t="s">
        <v>106</v>
      </c>
      <c r="F8" s="7" t="s">
        <v>13</v>
      </c>
      <c r="G8" s="8">
        <v>12.0</v>
      </c>
      <c r="H8" s="8">
        <v>35000.0</v>
      </c>
      <c r="I8" s="8">
        <v>24000.0</v>
      </c>
      <c r="J8" s="10" t="str">
        <f t="shared" si="3"/>
        <v>Resistencia</v>
      </c>
      <c r="K8" s="11">
        <f t="shared" si="4"/>
        <v>12</v>
      </c>
      <c r="L8" s="10" t="str">
        <f t="shared" ref="L8:M8" si="14">PROPER(E8)</f>
        <v>Ana Martinez</v>
      </c>
      <c r="M8" s="10" t="str">
        <f t="shared" si="14"/>
        <v>Alimento Perro Adulto 15Kg</v>
      </c>
      <c r="N8" s="10" t="str">
        <f t="array" ref="N8">IFERROR(_xlfn.XLOOKUP(M8, Maestro_productos_15!$B:$B, Maestro_productos_15!$D:$D), "No encontrado")</f>
        <v>NutriDog Arg</v>
      </c>
      <c r="O8" s="10" t="str">
        <f t="array" ref="O8">IFERROR(_xlfn.XLOOKUP(M8,Maestro_productos_15!$B:$B,Maestro_productos_15!$C:$C), "Sin Categoria")</f>
        <v>Mascotas</v>
      </c>
      <c r="P8" s="11">
        <f t="shared" si="6"/>
        <v>420000</v>
      </c>
      <c r="Q8" s="11">
        <f t="shared" si="7"/>
        <v>288000</v>
      </c>
      <c r="R8" s="11">
        <f t="shared" si="8"/>
        <v>132000</v>
      </c>
      <c r="S8" s="15">
        <f t="shared" si="9"/>
        <v>16800</v>
      </c>
    </row>
    <row r="9" ht="22.5" customHeight="1">
      <c r="A9" s="5" t="s">
        <v>112</v>
      </c>
      <c r="B9" s="8">
        <f t="shared" si="2"/>
        <v>8</v>
      </c>
      <c r="C9" s="6">
        <v>46050.0</v>
      </c>
      <c r="D9" s="5" t="s">
        <v>103</v>
      </c>
      <c r="E9" s="5" t="s">
        <v>113</v>
      </c>
      <c r="F9" s="7" t="s">
        <v>38</v>
      </c>
      <c r="G9" s="8">
        <v>8.0</v>
      </c>
      <c r="H9" s="8">
        <v>29500.0</v>
      </c>
      <c r="I9" s="8">
        <v>20000.0</v>
      </c>
      <c r="J9" s="10" t="str">
        <f t="shared" si="3"/>
        <v>Formosa</v>
      </c>
      <c r="K9" s="11">
        <f t="shared" si="4"/>
        <v>8</v>
      </c>
      <c r="L9" s="10" t="str">
        <f t="shared" ref="L9:M9" si="15">PROPER(E9)</f>
        <v>Maria Gomez</v>
      </c>
      <c r="M9" s="10" t="str">
        <f t="shared" si="15"/>
        <v>Alimento Gato Castrado 10Kg</v>
      </c>
      <c r="N9" s="10" t="str">
        <f t="array" ref="N9">IFERROR(_xlfn.XLOOKUP(M9, Maestro_productos_15!$B:$B, Maestro_productos_15!$D:$D), "No encontrado")</f>
        <v>NutriDog Arg</v>
      </c>
      <c r="O9" s="10" t="str">
        <f t="array" ref="O9">IFERROR(_xlfn.XLOOKUP(M9,Maestro_productos_15!$B:$B,Maestro_productos_15!$C:$C), "Sin Categoria")</f>
        <v>Mascotas</v>
      </c>
      <c r="P9" s="11">
        <f t="shared" si="6"/>
        <v>236000</v>
      </c>
      <c r="Q9" s="11">
        <f t="shared" si="7"/>
        <v>160000</v>
      </c>
      <c r="R9" s="11">
        <f t="shared" si="8"/>
        <v>76000</v>
      </c>
      <c r="S9" s="15">
        <f t="shared" si="9"/>
        <v>9440</v>
      </c>
    </row>
    <row r="10" ht="22.5" customHeight="1">
      <c r="A10" s="5" t="s">
        <v>114</v>
      </c>
      <c r="B10" s="8">
        <f t="shared" si="2"/>
        <v>8</v>
      </c>
      <c r="C10" s="6">
        <v>46111.0</v>
      </c>
      <c r="D10" s="5" t="s">
        <v>102</v>
      </c>
      <c r="E10" s="5" t="s">
        <v>115</v>
      </c>
      <c r="F10" s="7" t="s">
        <v>71</v>
      </c>
      <c r="G10" s="8">
        <v>7.0</v>
      </c>
      <c r="H10" s="8">
        <v>22000.0</v>
      </c>
      <c r="I10" s="8">
        <v>14000.0</v>
      </c>
      <c r="J10" s="10" t="str">
        <f t="shared" si="3"/>
        <v>Resistencia</v>
      </c>
      <c r="K10" s="11">
        <f t="shared" si="4"/>
        <v>7</v>
      </c>
      <c r="L10" s="10" t="str">
        <f t="shared" ref="L10:M10" si="16">PROPER(E10)</f>
        <v>Juan Perez</v>
      </c>
      <c r="M10" s="10" t="str">
        <f t="shared" si="16"/>
        <v>Cargador Rápido Usb-C 65W</v>
      </c>
      <c r="N10" s="10" t="str">
        <f t="array" ref="N10">IFERROR(_xlfn.XLOOKUP(M10, Maestro_productos_15!$B:$B, Maestro_productos_15!$D:$D), "No encontrado")</f>
        <v>TechImport S.R.L.</v>
      </c>
      <c r="O10" s="10" t="str">
        <f t="array" ref="O10">IFERROR(_xlfn.XLOOKUP(M10,Maestro_productos_15!$B:$B,Maestro_productos_15!$C:$C), "Sin Categoria")</f>
        <v>Tecnología</v>
      </c>
      <c r="P10" s="11">
        <f t="shared" si="6"/>
        <v>154000</v>
      </c>
      <c r="Q10" s="11">
        <f t="shared" si="7"/>
        <v>98000</v>
      </c>
      <c r="R10" s="11">
        <f t="shared" si="8"/>
        <v>56000</v>
      </c>
      <c r="S10" s="15">
        <f t="shared" si="9"/>
        <v>3080</v>
      </c>
    </row>
    <row r="11" ht="22.5" customHeight="1">
      <c r="A11" s="5" t="s">
        <v>116</v>
      </c>
      <c r="B11" s="8">
        <f t="shared" si="2"/>
        <v>8</v>
      </c>
      <c r="C11" s="6">
        <v>46076.0</v>
      </c>
      <c r="D11" s="5" t="s">
        <v>99</v>
      </c>
      <c r="E11" s="5" t="s">
        <v>90</v>
      </c>
      <c r="F11" s="7" t="s">
        <v>67</v>
      </c>
      <c r="G11" s="8">
        <v>24.0</v>
      </c>
      <c r="H11" s="8">
        <v>3100.0</v>
      </c>
      <c r="I11" s="8">
        <v>1800.0</v>
      </c>
      <c r="J11" s="10" t="str">
        <f t="shared" si="3"/>
        <v>Posadas</v>
      </c>
      <c r="K11" s="11">
        <f t="shared" si="4"/>
        <v>24</v>
      </c>
      <c r="L11" s="10" t="str">
        <f t="shared" ref="L11:M11" si="17">PROPER(E11)</f>
        <v>Ana Martinez</v>
      </c>
      <c r="M11" s="10" t="str">
        <f t="shared" si="17"/>
        <v>Snack Premios Perro 250G</v>
      </c>
      <c r="N11" s="10" t="str">
        <f t="array" ref="N11">IFERROR(_xlfn.XLOOKUP(M11, Maestro_productos_15!$B:$B, Maestro_productos_15!$D:$D), "No encontrado")</f>
        <v>NutriDog Arg</v>
      </c>
      <c r="O11" s="10" t="str">
        <f t="array" ref="O11">IFERROR(_xlfn.XLOOKUP(M11,Maestro_productos_15!$B:$B,Maestro_productos_15!$C:$C), "Sin Categoria")</f>
        <v>Mascotas</v>
      </c>
      <c r="P11" s="11">
        <f t="shared" si="6"/>
        <v>74400</v>
      </c>
      <c r="Q11" s="11">
        <f t="shared" si="7"/>
        <v>43200</v>
      </c>
      <c r="R11" s="11">
        <f t="shared" si="8"/>
        <v>31200</v>
      </c>
      <c r="S11" s="15">
        <f t="shared" si="9"/>
        <v>1488</v>
      </c>
    </row>
    <row r="12" ht="22.5" customHeight="1">
      <c r="A12" s="5" t="s">
        <v>117</v>
      </c>
      <c r="B12" s="8">
        <f t="shared" si="2"/>
        <v>8</v>
      </c>
      <c r="C12" s="6">
        <v>46024.0</v>
      </c>
      <c r="D12" s="5" t="s">
        <v>118</v>
      </c>
      <c r="E12" s="5" t="s">
        <v>90</v>
      </c>
      <c r="F12" s="7" t="s">
        <v>38</v>
      </c>
      <c r="G12" s="8">
        <v>22.0</v>
      </c>
      <c r="H12" s="8">
        <v>29500.0</v>
      </c>
      <c r="I12" s="8">
        <v>20000.0</v>
      </c>
      <c r="J12" s="10" t="str">
        <f t="shared" si="3"/>
        <v>Posadas</v>
      </c>
      <c r="K12" s="11">
        <f t="shared" si="4"/>
        <v>22</v>
      </c>
      <c r="L12" s="10" t="str">
        <f t="shared" ref="L12:M12" si="18">PROPER(E12)</f>
        <v>Ana Martinez</v>
      </c>
      <c r="M12" s="10" t="str">
        <f t="shared" si="18"/>
        <v>Alimento Gato Castrado 10Kg</v>
      </c>
      <c r="N12" s="10" t="str">
        <f t="array" ref="N12">IFERROR(_xlfn.XLOOKUP(M12, Maestro_productos_15!$B:$B, Maestro_productos_15!$D:$D), "No encontrado")</f>
        <v>NutriDog Arg</v>
      </c>
      <c r="O12" s="10" t="str">
        <f t="array" ref="O12">IFERROR(_xlfn.XLOOKUP(M12,Maestro_productos_15!$B:$B,Maestro_productos_15!$C:$C), "Sin Categoria")</f>
        <v>Mascotas</v>
      </c>
      <c r="P12" s="11">
        <f t="shared" si="6"/>
        <v>649000</v>
      </c>
      <c r="Q12" s="11">
        <f t="shared" si="7"/>
        <v>440000</v>
      </c>
      <c r="R12" s="11">
        <f t="shared" si="8"/>
        <v>209000</v>
      </c>
      <c r="S12" s="15">
        <f t="shared" si="9"/>
        <v>25960</v>
      </c>
    </row>
    <row r="13" ht="22.5" customHeight="1">
      <c r="A13" s="5" t="s">
        <v>119</v>
      </c>
      <c r="B13" s="8">
        <f t="shared" si="2"/>
        <v>8</v>
      </c>
      <c r="C13" s="6">
        <v>46099.0</v>
      </c>
      <c r="D13" s="5" t="s">
        <v>88</v>
      </c>
      <c r="E13" s="5" t="s">
        <v>106</v>
      </c>
      <c r="F13" s="7" t="s">
        <v>101</v>
      </c>
      <c r="G13" s="8">
        <v>9.0</v>
      </c>
      <c r="H13" s="8">
        <v>32000.0</v>
      </c>
      <c r="I13" s="8">
        <v>21000.0</v>
      </c>
      <c r="J13" s="10" t="str">
        <f t="shared" si="3"/>
        <v>Corrientes</v>
      </c>
      <c r="K13" s="11">
        <f t="shared" si="4"/>
        <v>9</v>
      </c>
      <c r="L13" s="10" t="str">
        <f t="shared" ref="L13:M13" si="19">PROPER(E13)</f>
        <v>Ana Martinez</v>
      </c>
      <c r="M13" s="10" t="str">
        <f t="shared" si="19"/>
        <v>Termo Acero Inoxidable 1.3L</v>
      </c>
      <c r="N13" s="10" t="str">
        <f t="array" ref="N13">IFERROR(_xlfn.XLOOKUP(M13, Maestro_productos_15!$B:$B, Maestro_productos_15!$D:$D), "No encontrado")</f>
        <v>Distribuidora del Nordeste</v>
      </c>
      <c r="O13" s="10" t="str">
        <f t="array" ref="O13">IFERROR(_xlfn.XLOOKUP(M13,Maestro_productos_15!$B:$B,Maestro_productos_15!$C:$C), "Sin Categoria")</f>
        <v>Bazar</v>
      </c>
      <c r="P13" s="11">
        <f t="shared" si="6"/>
        <v>288000</v>
      </c>
      <c r="Q13" s="11">
        <f t="shared" si="7"/>
        <v>189000</v>
      </c>
      <c r="R13" s="11">
        <f t="shared" si="8"/>
        <v>99000</v>
      </c>
      <c r="S13" s="15">
        <f t="shared" si="9"/>
        <v>17280</v>
      </c>
    </row>
    <row r="14" ht="22.5" customHeight="1">
      <c r="A14" s="5" t="s">
        <v>120</v>
      </c>
      <c r="B14" s="8">
        <f t="shared" si="2"/>
        <v>8</v>
      </c>
      <c r="C14" s="6">
        <v>46084.0</v>
      </c>
      <c r="D14" s="5" t="s">
        <v>102</v>
      </c>
      <c r="E14" s="5" t="s">
        <v>115</v>
      </c>
      <c r="F14" s="7" t="s">
        <v>34</v>
      </c>
      <c r="G14" s="8">
        <v>13.0</v>
      </c>
      <c r="H14" s="8">
        <v>4800.0</v>
      </c>
      <c r="I14" s="8">
        <v>2700.0</v>
      </c>
      <c r="J14" s="10" t="str">
        <f t="shared" si="3"/>
        <v>Resistencia</v>
      </c>
      <c r="K14" s="11">
        <f t="shared" si="4"/>
        <v>13</v>
      </c>
      <c r="L14" s="10" t="str">
        <f t="shared" ref="L14:M14" si="20">PROPER(E14)</f>
        <v>Juan Perez</v>
      </c>
      <c r="M14" s="10" t="str">
        <f t="shared" si="20"/>
        <v>Juguete Mordillo Goma</v>
      </c>
      <c r="N14" s="10" t="str">
        <f t="array" ref="N14">IFERROR(_xlfn.XLOOKUP(M14, Maestro_productos_15!$B:$B, Maestro_productos_15!$D:$D), "No encontrado")</f>
        <v>PetStyle Litoral</v>
      </c>
      <c r="O14" s="10" t="str">
        <f t="array" ref="O14">IFERROR(_xlfn.XLOOKUP(M14,Maestro_productos_15!$B:$B,Maestro_productos_15!$C:$C), "Sin Categoria")</f>
        <v>Mascotas</v>
      </c>
      <c r="P14" s="11">
        <f t="shared" si="6"/>
        <v>62400</v>
      </c>
      <c r="Q14" s="11">
        <f t="shared" si="7"/>
        <v>35100</v>
      </c>
      <c r="R14" s="11">
        <f t="shared" si="8"/>
        <v>27300</v>
      </c>
      <c r="S14" s="15">
        <f t="shared" si="9"/>
        <v>1248</v>
      </c>
    </row>
    <row r="15" ht="22.5" customHeight="1">
      <c r="A15" s="5" t="s">
        <v>121</v>
      </c>
      <c r="B15" s="8">
        <f t="shared" si="2"/>
        <v>8</v>
      </c>
      <c r="C15" s="6">
        <v>46026.0</v>
      </c>
      <c r="D15" s="5" t="s">
        <v>108</v>
      </c>
      <c r="E15" s="5" t="s">
        <v>90</v>
      </c>
      <c r="F15" s="7" t="s">
        <v>64</v>
      </c>
      <c r="G15" s="8">
        <v>9.0</v>
      </c>
      <c r="H15" s="8">
        <v>6200.0</v>
      </c>
      <c r="I15" s="8">
        <v>3800.0</v>
      </c>
      <c r="J15" s="10" t="str">
        <f t="shared" si="3"/>
        <v>Corrientes</v>
      </c>
      <c r="K15" s="11">
        <f t="shared" si="4"/>
        <v>9</v>
      </c>
      <c r="L15" s="10" t="str">
        <f t="shared" ref="L15:M15" si="21">PROPER(E15)</f>
        <v>Ana Martinez</v>
      </c>
      <c r="M15" s="10" t="str">
        <f t="shared" si="21"/>
        <v>Shampoo Canino Neutro 500Ml</v>
      </c>
      <c r="N15" s="10" t="str">
        <f t="array" ref="N15">IFERROR(_xlfn.XLOOKUP(M15, Maestro_productos_15!$B:$B, Maestro_productos_15!$D:$D), "No encontrado")</f>
        <v>PetStyle Litoral</v>
      </c>
      <c r="O15" s="10" t="str">
        <f t="array" ref="O15">IFERROR(_xlfn.XLOOKUP(M15,Maestro_productos_15!$B:$B,Maestro_productos_15!$C:$C), "Sin Categoria")</f>
        <v>Mascotas</v>
      </c>
      <c r="P15" s="11">
        <f t="shared" si="6"/>
        <v>55800</v>
      </c>
      <c r="Q15" s="11">
        <f t="shared" si="7"/>
        <v>34200</v>
      </c>
      <c r="R15" s="11">
        <f t="shared" si="8"/>
        <v>21600</v>
      </c>
      <c r="S15" s="15">
        <f t="shared" si="9"/>
        <v>1116</v>
      </c>
    </row>
    <row r="16" ht="22.5" customHeight="1">
      <c r="A16" s="5" t="s">
        <v>122</v>
      </c>
      <c r="B16" s="8">
        <f t="shared" si="2"/>
        <v>8</v>
      </c>
      <c r="C16" s="6">
        <v>46086.0</v>
      </c>
      <c r="D16" s="5" t="s">
        <v>108</v>
      </c>
      <c r="E16" s="5" t="s">
        <v>115</v>
      </c>
      <c r="F16" s="7" t="s">
        <v>67</v>
      </c>
      <c r="G16" s="8">
        <v>3.0</v>
      </c>
      <c r="H16" s="8">
        <v>3100.0</v>
      </c>
      <c r="I16" s="8">
        <v>1800.0</v>
      </c>
      <c r="J16" s="10" t="str">
        <f t="shared" si="3"/>
        <v>Corrientes</v>
      </c>
      <c r="K16" s="11">
        <f t="shared" si="4"/>
        <v>3</v>
      </c>
      <c r="L16" s="10" t="str">
        <f t="shared" ref="L16:M16" si="22">PROPER(E16)</f>
        <v>Juan Perez</v>
      </c>
      <c r="M16" s="10" t="str">
        <f t="shared" si="22"/>
        <v>Snack Premios Perro 250G</v>
      </c>
      <c r="N16" s="10" t="str">
        <f t="array" ref="N16">IFERROR(_xlfn.XLOOKUP(M16, Maestro_productos_15!$B:$B, Maestro_productos_15!$D:$D), "No encontrado")</f>
        <v>NutriDog Arg</v>
      </c>
      <c r="O16" s="10" t="str">
        <f t="array" ref="O16">IFERROR(_xlfn.XLOOKUP(M16,Maestro_productos_15!$B:$B,Maestro_productos_15!$C:$C), "Sin Categoria")</f>
        <v>Mascotas</v>
      </c>
      <c r="P16" s="11">
        <f t="shared" si="6"/>
        <v>9300</v>
      </c>
      <c r="Q16" s="11">
        <f t="shared" si="7"/>
        <v>5400</v>
      </c>
      <c r="R16" s="11">
        <f t="shared" si="8"/>
        <v>3900</v>
      </c>
      <c r="S16" s="15">
        <f t="shared" si="9"/>
        <v>186</v>
      </c>
    </row>
    <row r="17" ht="22.5" customHeight="1">
      <c r="A17" s="5" t="s">
        <v>123</v>
      </c>
      <c r="B17" s="8">
        <f t="shared" si="2"/>
        <v>8</v>
      </c>
      <c r="C17" s="6">
        <v>46094.0</v>
      </c>
      <c r="D17" s="5" t="s">
        <v>103</v>
      </c>
      <c r="E17" s="5" t="s">
        <v>90</v>
      </c>
      <c r="F17" s="7" t="s">
        <v>13</v>
      </c>
      <c r="G17" s="8">
        <v>3.0</v>
      </c>
      <c r="H17" s="8">
        <v>35000.0</v>
      </c>
      <c r="I17" s="8">
        <v>24000.0</v>
      </c>
      <c r="J17" s="10" t="str">
        <f t="shared" si="3"/>
        <v>Formosa</v>
      </c>
      <c r="K17" s="11">
        <f t="shared" si="4"/>
        <v>3</v>
      </c>
      <c r="L17" s="10" t="str">
        <f t="shared" ref="L17:M17" si="23">PROPER(E17)</f>
        <v>Ana Martinez</v>
      </c>
      <c r="M17" s="10" t="str">
        <f t="shared" si="23"/>
        <v>Alimento Perro Adulto 15Kg</v>
      </c>
      <c r="N17" s="10" t="str">
        <f t="array" ref="N17">IFERROR(_xlfn.XLOOKUP(M17, Maestro_productos_15!$B:$B, Maestro_productos_15!$D:$D), "No encontrado")</f>
        <v>NutriDog Arg</v>
      </c>
      <c r="O17" s="10" t="str">
        <f t="array" ref="O17">IFERROR(_xlfn.XLOOKUP(M17,Maestro_productos_15!$B:$B,Maestro_productos_15!$C:$C), "Sin Categoria")</f>
        <v>Mascotas</v>
      </c>
      <c r="P17" s="11">
        <f t="shared" si="6"/>
        <v>105000</v>
      </c>
      <c r="Q17" s="11">
        <f t="shared" si="7"/>
        <v>72000</v>
      </c>
      <c r="R17" s="11">
        <f t="shared" si="8"/>
        <v>33000</v>
      </c>
      <c r="S17" s="15">
        <f t="shared" si="9"/>
        <v>4200</v>
      </c>
    </row>
    <row r="18" ht="22.5" customHeight="1">
      <c r="A18" s="5" t="s">
        <v>124</v>
      </c>
      <c r="B18" s="8">
        <f t="shared" si="2"/>
        <v>8</v>
      </c>
      <c r="C18" s="6">
        <v>46112.0</v>
      </c>
      <c r="D18" s="5" t="s">
        <v>99</v>
      </c>
      <c r="E18" s="5" t="s">
        <v>106</v>
      </c>
      <c r="F18" s="7" t="s">
        <v>7</v>
      </c>
      <c r="G18" s="8">
        <v>22.0</v>
      </c>
      <c r="H18" s="8">
        <v>3800.0</v>
      </c>
      <c r="I18" s="8">
        <v>2500.0</v>
      </c>
      <c r="J18" s="10" t="str">
        <f t="shared" si="3"/>
        <v>Posadas</v>
      </c>
      <c r="K18" s="11">
        <f t="shared" si="4"/>
        <v>22</v>
      </c>
      <c r="L18" s="10" t="str">
        <f t="shared" ref="L18:M18" si="24">PROPER(E18)</f>
        <v>Ana Martinez</v>
      </c>
      <c r="M18" s="10" t="str">
        <f t="shared" si="24"/>
        <v>Yerba Mate Premium 1Kg</v>
      </c>
      <c r="N18" s="10" t="str">
        <f t="array" ref="N18">IFERROR(_xlfn.XLOOKUP(M18, Maestro_productos_15!$B:$B, Maestro_productos_15!$D:$D), "No encontrado")</f>
        <v>Cooperativa Neike</v>
      </c>
      <c r="O18" s="10" t="str">
        <f t="array" ref="O18">IFERROR(_xlfn.XLOOKUP(M18,Maestro_productos_15!$B:$B,Maestro_productos_15!$C:$C), "Sin Categoria")</f>
        <v>Alimentos</v>
      </c>
      <c r="P18" s="11">
        <f t="shared" si="6"/>
        <v>83600</v>
      </c>
      <c r="Q18" s="11">
        <f t="shared" si="7"/>
        <v>55000</v>
      </c>
      <c r="R18" s="11">
        <f t="shared" si="8"/>
        <v>28600</v>
      </c>
      <c r="S18" s="15">
        <f t="shared" si="9"/>
        <v>1672</v>
      </c>
    </row>
    <row r="19" ht="22.5" customHeight="1">
      <c r="A19" s="5" t="s">
        <v>125</v>
      </c>
      <c r="B19" s="8">
        <f t="shared" si="2"/>
        <v>8</v>
      </c>
      <c r="C19" s="6">
        <v>46031.0</v>
      </c>
      <c r="D19" s="5" t="s">
        <v>103</v>
      </c>
      <c r="E19" s="5" t="s">
        <v>90</v>
      </c>
      <c r="F19" s="7" t="s">
        <v>13</v>
      </c>
      <c r="G19" s="8">
        <v>10.0</v>
      </c>
      <c r="H19" s="8">
        <v>35000.0</v>
      </c>
      <c r="I19" s="8">
        <v>24000.0</v>
      </c>
      <c r="J19" s="10" t="str">
        <f t="shared" si="3"/>
        <v>Formosa</v>
      </c>
      <c r="K19" s="11">
        <f t="shared" si="4"/>
        <v>10</v>
      </c>
      <c r="L19" s="10" t="str">
        <f t="shared" ref="L19:M19" si="25">PROPER(E19)</f>
        <v>Ana Martinez</v>
      </c>
      <c r="M19" s="10" t="str">
        <f t="shared" si="25"/>
        <v>Alimento Perro Adulto 15Kg</v>
      </c>
      <c r="N19" s="10" t="str">
        <f t="array" ref="N19">IFERROR(_xlfn.XLOOKUP(M19, Maestro_productos_15!$B:$B, Maestro_productos_15!$D:$D), "No encontrado")</f>
        <v>NutriDog Arg</v>
      </c>
      <c r="O19" s="10" t="str">
        <f t="array" ref="O19">IFERROR(_xlfn.XLOOKUP(M19,Maestro_productos_15!$B:$B,Maestro_productos_15!$C:$C), "Sin Categoria")</f>
        <v>Mascotas</v>
      </c>
      <c r="P19" s="11">
        <f t="shared" si="6"/>
        <v>350000</v>
      </c>
      <c r="Q19" s="11">
        <f t="shared" si="7"/>
        <v>240000</v>
      </c>
      <c r="R19" s="11">
        <f t="shared" si="8"/>
        <v>110000</v>
      </c>
      <c r="S19" s="15">
        <f t="shared" si="9"/>
        <v>14000</v>
      </c>
    </row>
    <row r="20" ht="22.5" customHeight="1">
      <c r="A20" s="5" t="s">
        <v>126</v>
      </c>
      <c r="B20" s="8">
        <f t="shared" si="2"/>
        <v>8</v>
      </c>
      <c r="C20" s="6">
        <v>46056.0</v>
      </c>
      <c r="D20" s="5" t="s">
        <v>102</v>
      </c>
      <c r="E20" s="5" t="s">
        <v>127</v>
      </c>
      <c r="F20" s="7" t="s">
        <v>56</v>
      </c>
      <c r="G20" s="8">
        <v>17.0</v>
      </c>
      <c r="H20" s="8">
        <v>32000.0</v>
      </c>
      <c r="I20" s="8">
        <v>21000.0</v>
      </c>
      <c r="J20" s="10" t="str">
        <f t="shared" si="3"/>
        <v>Resistencia</v>
      </c>
      <c r="K20" s="11">
        <f t="shared" si="4"/>
        <v>17</v>
      </c>
      <c r="L20" s="10" t="str">
        <f t="shared" ref="L20:M20" si="26">PROPER(E20)</f>
        <v>Carlos Ruiz</v>
      </c>
      <c r="M20" s="10" t="str">
        <f t="shared" si="26"/>
        <v>Termo Acero Inoxidable 1.3L</v>
      </c>
      <c r="N20" s="10" t="str">
        <f t="array" ref="N20">IFERROR(_xlfn.XLOOKUP(M20, Maestro_productos_15!$B:$B, Maestro_productos_15!$D:$D), "No encontrado")</f>
        <v>Distribuidora del Nordeste</v>
      </c>
      <c r="O20" s="10" t="str">
        <f t="array" ref="O20">IFERROR(_xlfn.XLOOKUP(M20,Maestro_productos_15!$B:$B,Maestro_productos_15!$C:$C), "Sin Categoria")</f>
        <v>Bazar</v>
      </c>
      <c r="P20" s="11">
        <f t="shared" si="6"/>
        <v>544000</v>
      </c>
      <c r="Q20" s="11">
        <f t="shared" si="7"/>
        <v>357000</v>
      </c>
      <c r="R20" s="11">
        <f t="shared" si="8"/>
        <v>187000</v>
      </c>
      <c r="S20" s="15">
        <f t="shared" si="9"/>
        <v>21760</v>
      </c>
    </row>
    <row r="21" ht="22.5" customHeight="1">
      <c r="A21" s="5" t="s">
        <v>128</v>
      </c>
      <c r="B21" s="8">
        <f t="shared" si="2"/>
        <v>8</v>
      </c>
      <c r="C21" s="6">
        <v>46061.0</v>
      </c>
      <c r="D21" s="5" t="s">
        <v>99</v>
      </c>
      <c r="E21" s="5" t="s">
        <v>127</v>
      </c>
      <c r="F21" s="7" t="s">
        <v>67</v>
      </c>
      <c r="G21" s="8">
        <v>12.0</v>
      </c>
      <c r="H21" s="8">
        <v>3100.0</v>
      </c>
      <c r="I21" s="8">
        <v>1800.0</v>
      </c>
      <c r="J21" s="10" t="str">
        <f t="shared" si="3"/>
        <v>Posadas</v>
      </c>
      <c r="K21" s="11">
        <f t="shared" si="4"/>
        <v>12</v>
      </c>
      <c r="L21" s="10" t="str">
        <f t="shared" ref="L21:M21" si="27">PROPER(E21)</f>
        <v>Carlos Ruiz</v>
      </c>
      <c r="M21" s="10" t="str">
        <f t="shared" si="27"/>
        <v>Snack Premios Perro 250G</v>
      </c>
      <c r="N21" s="10" t="str">
        <f t="array" ref="N21">IFERROR(_xlfn.XLOOKUP(M21, Maestro_productos_15!$B:$B, Maestro_productos_15!$D:$D), "No encontrado")</f>
        <v>NutriDog Arg</v>
      </c>
      <c r="O21" s="10" t="str">
        <f t="array" ref="O21">IFERROR(_xlfn.XLOOKUP(M21,Maestro_productos_15!$B:$B,Maestro_productos_15!$C:$C), "Sin Categoria")</f>
        <v>Mascotas</v>
      </c>
      <c r="P21" s="11">
        <f t="shared" si="6"/>
        <v>37200</v>
      </c>
      <c r="Q21" s="11">
        <f t="shared" si="7"/>
        <v>21600</v>
      </c>
      <c r="R21" s="11">
        <f t="shared" si="8"/>
        <v>15600</v>
      </c>
      <c r="S21" s="15">
        <f t="shared" si="9"/>
        <v>744</v>
      </c>
    </row>
    <row r="22" ht="22.5" customHeight="1">
      <c r="A22" s="5" t="s">
        <v>129</v>
      </c>
      <c r="B22" s="8">
        <f t="shared" si="2"/>
        <v>8</v>
      </c>
      <c r="C22" s="6">
        <v>46048.0</v>
      </c>
      <c r="D22" s="5" t="s">
        <v>88</v>
      </c>
      <c r="E22" s="5" t="s">
        <v>127</v>
      </c>
      <c r="F22" s="7" t="s">
        <v>130</v>
      </c>
      <c r="G22" s="8">
        <v>-5.0</v>
      </c>
      <c r="H22" s="8">
        <v>15000.0</v>
      </c>
      <c r="I22" s="8">
        <v>9500.0</v>
      </c>
      <c r="J22" s="10" t="str">
        <f t="shared" si="3"/>
        <v>Corrientes</v>
      </c>
      <c r="K22" s="10">
        <f t="shared" si="4"/>
        <v>1</v>
      </c>
      <c r="L22" s="10" t="str">
        <f t="shared" ref="L22:M22" si="28">PROPER(E22)</f>
        <v>Carlos Ruiz</v>
      </c>
      <c r="M22" s="10" t="str">
        <f t="shared" si="28"/>
        <v>Mouse Inalámbrico Ergonómico</v>
      </c>
      <c r="N22" s="10" t="str">
        <f t="array" ref="N22">IFERROR(_xlfn.XLOOKUP(M22, Maestro_productos_15!$B:$B, Maestro_productos_15!$D:$D), "No encontrado")</f>
        <v>TechImport S.R.L.</v>
      </c>
      <c r="O22" s="10" t="str">
        <f t="array" ref="O22">IFERROR(_xlfn.XLOOKUP(M22,Maestro_productos_15!$B:$B,Maestro_productos_15!$C:$C), "Sin Categoria")</f>
        <v>Tecnología</v>
      </c>
      <c r="P22" s="11">
        <f t="shared" si="6"/>
        <v>-75000</v>
      </c>
      <c r="Q22" s="11">
        <f t="shared" si="7"/>
        <v>-47500</v>
      </c>
      <c r="R22" s="11">
        <f t="shared" si="8"/>
        <v>-27500</v>
      </c>
      <c r="S22" s="15">
        <f t="shared" si="9"/>
        <v>300</v>
      </c>
    </row>
    <row r="23" ht="22.5" customHeight="1">
      <c r="A23" s="5" t="s">
        <v>131</v>
      </c>
      <c r="B23" s="8">
        <f t="shared" si="2"/>
        <v>8</v>
      </c>
      <c r="C23" s="6">
        <v>46082.0</v>
      </c>
      <c r="D23" s="5" t="s">
        <v>103</v>
      </c>
      <c r="E23" s="5" t="s">
        <v>106</v>
      </c>
      <c r="F23" s="7" t="s">
        <v>13</v>
      </c>
      <c r="G23" s="8">
        <v>2.0</v>
      </c>
      <c r="H23" s="8">
        <v>35000.0</v>
      </c>
      <c r="I23" s="8">
        <v>24000.0</v>
      </c>
      <c r="J23" s="10" t="str">
        <f t="shared" si="3"/>
        <v>Formosa</v>
      </c>
      <c r="K23" s="11">
        <f t="shared" si="4"/>
        <v>2</v>
      </c>
      <c r="L23" s="10" t="str">
        <f t="shared" ref="L23:M23" si="29">PROPER(E23)</f>
        <v>Ana Martinez</v>
      </c>
      <c r="M23" s="10" t="str">
        <f t="shared" si="29"/>
        <v>Alimento Perro Adulto 15Kg</v>
      </c>
      <c r="N23" s="10" t="str">
        <f t="array" ref="N23">IFERROR(_xlfn.XLOOKUP(M23, Maestro_productos_15!$B:$B, Maestro_productos_15!$D:$D), "No encontrado")</f>
        <v>NutriDog Arg</v>
      </c>
      <c r="O23" s="10" t="str">
        <f t="array" ref="O23">IFERROR(_xlfn.XLOOKUP(M23,Maestro_productos_15!$B:$B,Maestro_productos_15!$C:$C), "Sin Categoria")</f>
        <v>Mascotas</v>
      </c>
      <c r="P23" s="11">
        <f t="shared" si="6"/>
        <v>70000</v>
      </c>
      <c r="Q23" s="11">
        <f t="shared" si="7"/>
        <v>48000</v>
      </c>
      <c r="R23" s="11">
        <f t="shared" si="8"/>
        <v>22000</v>
      </c>
      <c r="S23" s="15">
        <f t="shared" si="9"/>
        <v>2800</v>
      </c>
    </row>
    <row r="24" ht="22.5" customHeight="1">
      <c r="A24" s="5" t="s">
        <v>132</v>
      </c>
      <c r="B24" s="8">
        <f t="shared" si="2"/>
        <v>8</v>
      </c>
      <c r="C24" s="6">
        <v>46050.0</v>
      </c>
      <c r="D24" s="5" t="s">
        <v>133</v>
      </c>
      <c r="E24" s="5" t="s">
        <v>106</v>
      </c>
      <c r="F24" s="7" t="s">
        <v>34</v>
      </c>
      <c r="G24" s="8">
        <v>25.0</v>
      </c>
      <c r="H24" s="8">
        <v>4800.0</v>
      </c>
      <c r="I24" s="8">
        <v>2700.0</v>
      </c>
      <c r="J24" s="10" t="str">
        <f t="shared" si="3"/>
        <v>Resistencia</v>
      </c>
      <c r="K24" s="11">
        <f t="shared" si="4"/>
        <v>25</v>
      </c>
      <c r="L24" s="10" t="str">
        <f t="shared" ref="L24:M24" si="30">PROPER(E24)</f>
        <v>Ana Martinez</v>
      </c>
      <c r="M24" s="10" t="str">
        <f t="shared" si="30"/>
        <v>Juguete Mordillo Goma</v>
      </c>
      <c r="N24" s="10" t="str">
        <f t="array" ref="N24">IFERROR(_xlfn.XLOOKUP(M24, Maestro_productos_15!$B:$B, Maestro_productos_15!$D:$D), "No encontrado")</f>
        <v>PetStyle Litoral</v>
      </c>
      <c r="O24" s="10" t="str">
        <f t="array" ref="O24">IFERROR(_xlfn.XLOOKUP(M24,Maestro_productos_15!$B:$B,Maestro_productos_15!$C:$C), "Sin Categoria")</f>
        <v>Mascotas</v>
      </c>
      <c r="P24" s="11">
        <f t="shared" si="6"/>
        <v>120000</v>
      </c>
      <c r="Q24" s="11">
        <f t="shared" si="7"/>
        <v>67500</v>
      </c>
      <c r="R24" s="11">
        <f t="shared" si="8"/>
        <v>52500</v>
      </c>
      <c r="S24" s="15">
        <f t="shared" si="9"/>
        <v>2400</v>
      </c>
    </row>
    <row r="25" ht="22.5" customHeight="1">
      <c r="A25" s="5" t="s">
        <v>134</v>
      </c>
      <c r="B25" s="8">
        <f t="shared" si="2"/>
        <v>8</v>
      </c>
      <c r="C25" s="6">
        <v>46036.0</v>
      </c>
      <c r="D25" s="5" t="s">
        <v>99</v>
      </c>
      <c r="E25" s="5" t="s">
        <v>115</v>
      </c>
      <c r="F25" s="7" t="s">
        <v>38</v>
      </c>
      <c r="G25" s="8">
        <v>20.0</v>
      </c>
      <c r="H25" s="8">
        <v>29500.0</v>
      </c>
      <c r="I25" s="8">
        <v>20000.0</v>
      </c>
      <c r="J25" s="10" t="str">
        <f t="shared" si="3"/>
        <v>Posadas</v>
      </c>
      <c r="K25" s="11">
        <f t="shared" si="4"/>
        <v>20</v>
      </c>
      <c r="L25" s="10" t="str">
        <f t="shared" ref="L25:M25" si="31">PROPER(E25)</f>
        <v>Juan Perez</v>
      </c>
      <c r="M25" s="10" t="str">
        <f t="shared" si="31"/>
        <v>Alimento Gato Castrado 10Kg</v>
      </c>
      <c r="N25" s="10" t="str">
        <f t="array" ref="N25">IFERROR(_xlfn.XLOOKUP(M25, Maestro_productos_15!$B:$B, Maestro_productos_15!$D:$D), "No encontrado")</f>
        <v>NutriDog Arg</v>
      </c>
      <c r="O25" s="10" t="str">
        <f t="array" ref="O25">IFERROR(_xlfn.XLOOKUP(M25,Maestro_productos_15!$B:$B,Maestro_productos_15!$C:$C), "Sin Categoria")</f>
        <v>Mascotas</v>
      </c>
      <c r="P25" s="11">
        <f t="shared" si="6"/>
        <v>590000</v>
      </c>
      <c r="Q25" s="11">
        <f t="shared" si="7"/>
        <v>400000</v>
      </c>
      <c r="R25" s="11">
        <f t="shared" si="8"/>
        <v>190000</v>
      </c>
      <c r="S25" s="15">
        <f t="shared" si="9"/>
        <v>23600</v>
      </c>
    </row>
    <row r="26" ht="22.5" customHeight="1">
      <c r="A26" s="5" t="s">
        <v>135</v>
      </c>
      <c r="B26" s="8">
        <f t="shared" si="2"/>
        <v>8</v>
      </c>
      <c r="C26" s="6">
        <v>46057.0</v>
      </c>
      <c r="D26" s="5" t="s">
        <v>118</v>
      </c>
      <c r="E26" s="5" t="s">
        <v>115</v>
      </c>
      <c r="F26" s="7" t="s">
        <v>51</v>
      </c>
      <c r="G26" s="8">
        <v>13.0</v>
      </c>
      <c r="H26" s="8">
        <v>8500.0</v>
      </c>
      <c r="I26" s="8">
        <v>4800.0</v>
      </c>
      <c r="J26" s="10" t="str">
        <f t="shared" si="3"/>
        <v>Posadas</v>
      </c>
      <c r="K26" s="11">
        <f t="shared" si="4"/>
        <v>13</v>
      </c>
      <c r="L26" s="10" t="str">
        <f t="shared" ref="L26:M26" si="32">PROPER(E26)</f>
        <v>Juan Perez</v>
      </c>
      <c r="M26" s="10" t="str">
        <f t="shared" si="32"/>
        <v>Mates De Madera Calada</v>
      </c>
      <c r="N26" s="10" t="str">
        <f t="array" ref="N26">IFERROR(_xlfn.XLOOKUP(M26, Maestro_productos_15!$B:$B, Maestro_productos_15!$D:$D), "No encontrado")</f>
        <v>Artesanías Guaraníes</v>
      </c>
      <c r="O26" s="10" t="str">
        <f t="array" ref="O26">IFERROR(_xlfn.XLOOKUP(M26,Maestro_productos_15!$B:$B,Maestro_productos_15!$C:$C), "Sin Categoria")</f>
        <v>Bazar</v>
      </c>
      <c r="P26" s="11">
        <f t="shared" si="6"/>
        <v>110500</v>
      </c>
      <c r="Q26" s="11">
        <f t="shared" si="7"/>
        <v>62400</v>
      </c>
      <c r="R26" s="11">
        <f t="shared" si="8"/>
        <v>48100</v>
      </c>
      <c r="S26" s="15">
        <f t="shared" si="9"/>
        <v>2210</v>
      </c>
    </row>
    <row r="27" ht="22.5" customHeight="1">
      <c r="A27" s="5" t="s">
        <v>136</v>
      </c>
      <c r="B27" s="8">
        <f t="shared" si="2"/>
        <v>8</v>
      </c>
      <c r="C27" s="6">
        <v>46066.0</v>
      </c>
      <c r="D27" s="5" t="s">
        <v>133</v>
      </c>
      <c r="E27" s="5" t="s">
        <v>100</v>
      </c>
      <c r="F27" s="7" t="s">
        <v>25</v>
      </c>
      <c r="G27" s="8">
        <v>3.0</v>
      </c>
      <c r="H27" s="8">
        <v>19500.0</v>
      </c>
      <c r="I27" s="8">
        <v>12000.0</v>
      </c>
      <c r="J27" s="10" t="str">
        <f t="shared" si="3"/>
        <v>Resistencia</v>
      </c>
      <c r="K27" s="11">
        <f t="shared" si="4"/>
        <v>3</v>
      </c>
      <c r="L27" s="10" t="str">
        <f t="shared" ref="L27:M27" si="33">PROPER(E27)</f>
        <v>Juan Perez</v>
      </c>
      <c r="M27" s="10" t="str">
        <f t="shared" si="33"/>
        <v>Soporte Regulable Notebook</v>
      </c>
      <c r="N27" s="10" t="str">
        <f t="array" ref="N27">IFERROR(_xlfn.XLOOKUP(M27, Maestro_productos_15!$B:$B, Maestro_productos_15!$D:$D), "No encontrado")</f>
        <v>TechImport S.R.L.</v>
      </c>
      <c r="O27" s="10" t="str">
        <f t="array" ref="O27">IFERROR(_xlfn.XLOOKUP(M27,Maestro_productos_15!$B:$B,Maestro_productos_15!$C:$C), "Sin Categoria")</f>
        <v>Tecnología</v>
      </c>
      <c r="P27" s="11">
        <f t="shared" si="6"/>
        <v>58500</v>
      </c>
      <c r="Q27" s="11">
        <f t="shared" si="7"/>
        <v>36000</v>
      </c>
      <c r="R27" s="11">
        <f t="shared" si="8"/>
        <v>22500</v>
      </c>
      <c r="S27" s="15">
        <f t="shared" si="9"/>
        <v>1170</v>
      </c>
    </row>
    <row r="28" ht="22.5" customHeight="1">
      <c r="A28" s="5" t="s">
        <v>137</v>
      </c>
      <c r="B28" s="8">
        <f t="shared" si="2"/>
        <v>8</v>
      </c>
      <c r="C28" s="6">
        <v>46109.0</v>
      </c>
      <c r="D28" s="5" t="s">
        <v>88</v>
      </c>
      <c r="E28" s="5" t="s">
        <v>100</v>
      </c>
      <c r="F28" s="7" t="s">
        <v>46</v>
      </c>
      <c r="G28" s="8">
        <v>2.0</v>
      </c>
      <c r="H28" s="8">
        <v>18500.0</v>
      </c>
      <c r="I28" s="8">
        <v>12500.0</v>
      </c>
      <c r="J28" s="10" t="str">
        <f t="shared" si="3"/>
        <v>Corrientes</v>
      </c>
      <c r="K28" s="11">
        <f t="shared" si="4"/>
        <v>2</v>
      </c>
      <c r="L28" s="10" t="str">
        <f t="shared" ref="L28:M28" si="34">PROPER(E28)</f>
        <v>Juan Perez</v>
      </c>
      <c r="M28" s="10" t="str">
        <f t="shared" si="34"/>
        <v>Café En Grano Intenso 1Kg</v>
      </c>
      <c r="N28" s="10" t="str">
        <f t="array" ref="N28">IFERROR(_xlfn.XLOOKUP(M28, Maestro_productos_15!$B:$B, Maestro_productos_15!$D:$D), "No encontrado")</f>
        <v>Distribuidora del Nordeste</v>
      </c>
      <c r="O28" s="10" t="str">
        <f t="array" ref="O28">IFERROR(_xlfn.XLOOKUP(M28,Maestro_productos_15!$B:$B,Maestro_productos_15!$C:$C), "Sin Categoria")</f>
        <v>Alimentos</v>
      </c>
      <c r="P28" s="11">
        <f t="shared" si="6"/>
        <v>37000</v>
      </c>
      <c r="Q28" s="11">
        <f t="shared" si="7"/>
        <v>25000</v>
      </c>
      <c r="R28" s="11">
        <f t="shared" si="8"/>
        <v>12000</v>
      </c>
      <c r="S28" s="15">
        <f t="shared" si="9"/>
        <v>740</v>
      </c>
    </row>
    <row r="29" ht="22.5" customHeight="1">
      <c r="A29" s="5" t="s">
        <v>138</v>
      </c>
      <c r="B29" s="8">
        <f t="shared" si="2"/>
        <v>8</v>
      </c>
      <c r="C29" s="6">
        <v>46073.0</v>
      </c>
      <c r="D29" s="5" t="s">
        <v>108</v>
      </c>
      <c r="E29" s="5" t="s">
        <v>113</v>
      </c>
      <c r="F29" s="7" t="s">
        <v>38</v>
      </c>
      <c r="G29" s="8">
        <v>7.0</v>
      </c>
      <c r="H29" s="8">
        <v>29500.0</v>
      </c>
      <c r="I29" s="8">
        <v>20000.0</v>
      </c>
      <c r="J29" s="10" t="str">
        <f t="shared" si="3"/>
        <v>Corrientes</v>
      </c>
      <c r="K29" s="11">
        <f t="shared" si="4"/>
        <v>7</v>
      </c>
      <c r="L29" s="10" t="str">
        <f t="shared" ref="L29:M29" si="35">PROPER(E29)</f>
        <v>Maria Gomez</v>
      </c>
      <c r="M29" s="10" t="str">
        <f t="shared" si="35"/>
        <v>Alimento Gato Castrado 10Kg</v>
      </c>
      <c r="N29" s="10" t="str">
        <f t="array" ref="N29">IFERROR(_xlfn.XLOOKUP(M29, Maestro_productos_15!$B:$B, Maestro_productos_15!$D:$D), "No encontrado")</f>
        <v>NutriDog Arg</v>
      </c>
      <c r="O29" s="10" t="str">
        <f t="array" ref="O29">IFERROR(_xlfn.XLOOKUP(M29,Maestro_productos_15!$B:$B,Maestro_productos_15!$C:$C), "Sin Categoria")</f>
        <v>Mascotas</v>
      </c>
      <c r="P29" s="11">
        <f t="shared" si="6"/>
        <v>206500</v>
      </c>
      <c r="Q29" s="11">
        <f t="shared" si="7"/>
        <v>140000</v>
      </c>
      <c r="R29" s="11">
        <f t="shared" si="8"/>
        <v>66500</v>
      </c>
      <c r="S29" s="15">
        <f t="shared" si="9"/>
        <v>12390</v>
      </c>
    </row>
    <row r="30" ht="22.5" customHeight="1">
      <c r="A30" s="5" t="s">
        <v>139</v>
      </c>
      <c r="B30" s="8">
        <f t="shared" si="2"/>
        <v>8</v>
      </c>
      <c r="C30" s="6">
        <v>46030.0</v>
      </c>
      <c r="D30" s="5" t="s">
        <v>108</v>
      </c>
      <c r="E30" s="5" t="s">
        <v>106</v>
      </c>
      <c r="F30" s="7" t="s">
        <v>64</v>
      </c>
      <c r="G30" s="8">
        <v>14.0</v>
      </c>
      <c r="H30" s="8">
        <v>6200.0</v>
      </c>
      <c r="I30" s="8">
        <v>3800.0</v>
      </c>
      <c r="J30" s="10" t="str">
        <f t="shared" si="3"/>
        <v>Corrientes</v>
      </c>
      <c r="K30" s="11">
        <f t="shared" si="4"/>
        <v>14</v>
      </c>
      <c r="L30" s="10" t="str">
        <f t="shared" ref="L30:M30" si="36">PROPER(E30)</f>
        <v>Ana Martinez</v>
      </c>
      <c r="M30" s="10" t="str">
        <f t="shared" si="36"/>
        <v>Shampoo Canino Neutro 500Ml</v>
      </c>
      <c r="N30" s="10" t="str">
        <f t="array" ref="N30">IFERROR(_xlfn.XLOOKUP(M30, Maestro_productos_15!$B:$B, Maestro_productos_15!$D:$D), "No encontrado")</f>
        <v>PetStyle Litoral</v>
      </c>
      <c r="O30" s="10" t="str">
        <f t="array" ref="O30">IFERROR(_xlfn.XLOOKUP(M30,Maestro_productos_15!$B:$B,Maestro_productos_15!$C:$C), "Sin Categoria")</f>
        <v>Mascotas</v>
      </c>
      <c r="P30" s="11">
        <f t="shared" si="6"/>
        <v>86800</v>
      </c>
      <c r="Q30" s="11">
        <f t="shared" si="7"/>
        <v>53200</v>
      </c>
      <c r="R30" s="11">
        <f t="shared" si="8"/>
        <v>33600</v>
      </c>
      <c r="S30" s="15">
        <f t="shared" si="9"/>
        <v>1736</v>
      </c>
    </row>
    <row r="31" ht="22.5" customHeight="1">
      <c r="A31" s="5" t="s">
        <v>140</v>
      </c>
      <c r="B31" s="8">
        <f t="shared" si="2"/>
        <v>8</v>
      </c>
      <c r="C31" s="6">
        <v>46044.0</v>
      </c>
      <c r="D31" s="5" t="s">
        <v>133</v>
      </c>
      <c r="E31" s="5" t="s">
        <v>141</v>
      </c>
      <c r="F31" s="7" t="s">
        <v>13</v>
      </c>
      <c r="G31" s="8">
        <v>2.0</v>
      </c>
      <c r="H31" s="8">
        <v>35000.0</v>
      </c>
      <c r="I31" s="8">
        <v>24000.0</v>
      </c>
      <c r="J31" s="10" t="str">
        <f t="shared" si="3"/>
        <v>Resistencia</v>
      </c>
      <c r="K31" s="11">
        <f t="shared" si="4"/>
        <v>2</v>
      </c>
      <c r="L31" s="10" t="str">
        <f t="shared" ref="L31:M31" si="37">PROPER(E31)</f>
        <v>Carlos Ruiz</v>
      </c>
      <c r="M31" s="10" t="str">
        <f t="shared" si="37"/>
        <v>Alimento Perro Adulto 15Kg</v>
      </c>
      <c r="N31" s="10" t="str">
        <f t="array" ref="N31">IFERROR(_xlfn.XLOOKUP(M31, Maestro_productos_15!$B:$B, Maestro_productos_15!$D:$D), "No encontrado")</f>
        <v>NutriDog Arg</v>
      </c>
      <c r="O31" s="10" t="str">
        <f t="array" ref="O31">IFERROR(_xlfn.XLOOKUP(M31,Maestro_productos_15!$B:$B,Maestro_productos_15!$C:$C), "Sin Categoria")</f>
        <v>Mascotas</v>
      </c>
      <c r="P31" s="11">
        <f t="shared" si="6"/>
        <v>70000</v>
      </c>
      <c r="Q31" s="11">
        <f t="shared" si="7"/>
        <v>48000</v>
      </c>
      <c r="R31" s="11">
        <f t="shared" si="8"/>
        <v>22000</v>
      </c>
      <c r="S31" s="15">
        <f t="shared" si="9"/>
        <v>2800</v>
      </c>
    </row>
    <row r="32" ht="22.5" customHeight="1">
      <c r="A32" s="5" t="s">
        <v>142</v>
      </c>
      <c r="B32" s="8">
        <f t="shared" si="2"/>
        <v>8</v>
      </c>
      <c r="C32" s="6">
        <v>46027.0</v>
      </c>
      <c r="D32" s="5" t="s">
        <v>118</v>
      </c>
      <c r="E32" s="5" t="s">
        <v>113</v>
      </c>
      <c r="F32" s="7" t="s">
        <v>13</v>
      </c>
      <c r="G32" s="8">
        <v>4.0</v>
      </c>
      <c r="H32" s="8">
        <v>35000.0</v>
      </c>
      <c r="I32" s="8">
        <v>24000.0</v>
      </c>
      <c r="J32" s="10" t="str">
        <f t="shared" si="3"/>
        <v>Posadas</v>
      </c>
      <c r="K32" s="11">
        <f t="shared" si="4"/>
        <v>4</v>
      </c>
      <c r="L32" s="10" t="str">
        <f t="shared" ref="L32:M32" si="38">PROPER(E32)</f>
        <v>Maria Gomez</v>
      </c>
      <c r="M32" s="10" t="str">
        <f t="shared" si="38"/>
        <v>Alimento Perro Adulto 15Kg</v>
      </c>
      <c r="N32" s="10" t="str">
        <f t="array" ref="N32">IFERROR(_xlfn.XLOOKUP(M32, Maestro_productos_15!$B:$B, Maestro_productos_15!$D:$D), "No encontrado")</f>
        <v>NutriDog Arg</v>
      </c>
      <c r="O32" s="10" t="str">
        <f t="array" ref="O32">IFERROR(_xlfn.XLOOKUP(M32,Maestro_productos_15!$B:$B,Maestro_productos_15!$C:$C), "Sin Categoria")</f>
        <v>Mascotas</v>
      </c>
      <c r="P32" s="11">
        <f t="shared" si="6"/>
        <v>140000</v>
      </c>
      <c r="Q32" s="11">
        <f t="shared" si="7"/>
        <v>96000</v>
      </c>
      <c r="R32" s="11">
        <f t="shared" si="8"/>
        <v>44000</v>
      </c>
      <c r="S32" s="15">
        <f t="shared" si="9"/>
        <v>5600</v>
      </c>
    </row>
    <row r="33" ht="22.5" customHeight="1">
      <c r="A33" s="5" t="s">
        <v>143</v>
      </c>
      <c r="B33" s="8">
        <f t="shared" si="2"/>
        <v>8</v>
      </c>
      <c r="C33" s="6">
        <v>46031.0</v>
      </c>
      <c r="D33" s="5" t="s">
        <v>108</v>
      </c>
      <c r="E33" s="5" t="s">
        <v>113</v>
      </c>
      <c r="F33" s="7" t="s">
        <v>42</v>
      </c>
      <c r="G33" s="8">
        <v>3.0</v>
      </c>
      <c r="H33" s="8">
        <v>45000.0</v>
      </c>
      <c r="I33" s="8">
        <v>30000.0</v>
      </c>
      <c r="J33" s="10" t="str">
        <f t="shared" si="3"/>
        <v>Corrientes</v>
      </c>
      <c r="K33" s="11">
        <f t="shared" si="4"/>
        <v>3</v>
      </c>
      <c r="L33" s="10" t="str">
        <f t="shared" ref="L33:M33" si="39">PROPER(E33)</f>
        <v>Maria Gomez</v>
      </c>
      <c r="M33" s="10" t="str">
        <f t="shared" si="39"/>
        <v>Teclado Mecánico Rgb</v>
      </c>
      <c r="N33" s="10" t="str">
        <f t="array" ref="N33">IFERROR(_xlfn.XLOOKUP(M33, Maestro_productos_15!$B:$B, Maestro_productos_15!$D:$D), "No encontrado")</f>
        <v>TechImport S.R.L.</v>
      </c>
      <c r="O33" s="10" t="str">
        <f t="array" ref="O33">IFERROR(_xlfn.XLOOKUP(M33,Maestro_productos_15!$B:$B,Maestro_productos_15!$C:$C), "Sin Categoria")</f>
        <v>Tecnología</v>
      </c>
      <c r="P33" s="11">
        <f t="shared" si="6"/>
        <v>135000</v>
      </c>
      <c r="Q33" s="11">
        <f t="shared" si="7"/>
        <v>90000</v>
      </c>
      <c r="R33" s="11">
        <f t="shared" si="8"/>
        <v>45000</v>
      </c>
      <c r="S33" s="15">
        <f t="shared" si="9"/>
        <v>8100</v>
      </c>
    </row>
    <row r="34" ht="22.5" customHeight="1">
      <c r="A34" s="5" t="s">
        <v>144</v>
      </c>
      <c r="B34" s="8">
        <f t="shared" si="2"/>
        <v>8</v>
      </c>
      <c r="C34" s="6">
        <v>46029.0</v>
      </c>
      <c r="D34" s="5" t="s">
        <v>118</v>
      </c>
      <c r="E34" s="5" t="s">
        <v>127</v>
      </c>
      <c r="F34" s="7" t="s">
        <v>19</v>
      </c>
      <c r="G34" s="8">
        <v>3.0</v>
      </c>
      <c r="H34" s="8">
        <v>28000.0</v>
      </c>
      <c r="I34" s="8">
        <v>18000.0</v>
      </c>
      <c r="J34" s="10" t="str">
        <f t="shared" si="3"/>
        <v>Posadas</v>
      </c>
      <c r="K34" s="11">
        <f t="shared" si="4"/>
        <v>3</v>
      </c>
      <c r="L34" s="10" t="str">
        <f t="shared" ref="L34:M34" si="40">PROPER(E34)</f>
        <v>Carlos Ruiz</v>
      </c>
      <c r="M34" s="10" t="str">
        <f t="shared" si="40"/>
        <v>Auriculares Bluetooth Pro</v>
      </c>
      <c r="N34" s="10" t="str">
        <f t="array" ref="N34">IFERROR(_xlfn.XLOOKUP(M34, Maestro_productos_15!$B:$B, Maestro_productos_15!$D:$D), "No encontrado")</f>
        <v>TechImport S.R.L.</v>
      </c>
      <c r="O34" s="10" t="str">
        <f t="array" ref="O34">IFERROR(_xlfn.XLOOKUP(M34,Maestro_productos_15!$B:$B,Maestro_productos_15!$C:$C), "Sin Categoria")</f>
        <v>Tecnología</v>
      </c>
      <c r="P34" s="11">
        <f t="shared" si="6"/>
        <v>84000</v>
      </c>
      <c r="Q34" s="11">
        <f t="shared" si="7"/>
        <v>54000</v>
      </c>
      <c r="R34" s="11">
        <f t="shared" si="8"/>
        <v>30000</v>
      </c>
      <c r="S34" s="15">
        <f t="shared" si="9"/>
        <v>3360</v>
      </c>
    </row>
    <row r="35" ht="22.5" customHeight="1">
      <c r="A35" s="5" t="s">
        <v>145</v>
      </c>
      <c r="B35" s="8">
        <f t="shared" si="2"/>
        <v>8</v>
      </c>
      <c r="C35" s="6">
        <v>46087.0</v>
      </c>
      <c r="D35" s="5" t="s">
        <v>133</v>
      </c>
      <c r="E35" s="5" t="s">
        <v>115</v>
      </c>
      <c r="F35" s="7" t="s">
        <v>60</v>
      </c>
      <c r="G35" s="8">
        <v>2.0</v>
      </c>
      <c r="H35" s="8">
        <v>15000.0</v>
      </c>
      <c r="I35" s="8">
        <v>9500.0</v>
      </c>
      <c r="J35" s="10" t="str">
        <f t="shared" si="3"/>
        <v>Resistencia</v>
      </c>
      <c r="K35" s="11">
        <f t="shared" si="4"/>
        <v>2</v>
      </c>
      <c r="L35" s="10" t="str">
        <f t="shared" ref="L35:M35" si="41">PROPER(E35)</f>
        <v>Juan Perez</v>
      </c>
      <c r="M35" s="10" t="str">
        <f t="shared" si="41"/>
        <v>Mouse Inalámbrico Ergonómico</v>
      </c>
      <c r="N35" s="10" t="str">
        <f t="array" ref="N35">IFERROR(_xlfn.XLOOKUP(M35, Maestro_productos_15!$B:$B, Maestro_productos_15!$D:$D), "No encontrado")</f>
        <v>TechImport S.R.L.</v>
      </c>
      <c r="O35" s="10" t="str">
        <f t="array" ref="O35">IFERROR(_xlfn.XLOOKUP(M35,Maestro_productos_15!$B:$B,Maestro_productos_15!$C:$C), "Sin Categoria")</f>
        <v>Tecnología</v>
      </c>
      <c r="P35" s="11">
        <f t="shared" si="6"/>
        <v>30000</v>
      </c>
      <c r="Q35" s="11">
        <f t="shared" si="7"/>
        <v>19000</v>
      </c>
      <c r="R35" s="11">
        <f t="shared" si="8"/>
        <v>11000</v>
      </c>
      <c r="S35" s="15">
        <f t="shared" si="9"/>
        <v>600</v>
      </c>
    </row>
    <row r="36" ht="22.5" customHeight="1">
      <c r="A36" s="5" t="s">
        <v>146</v>
      </c>
      <c r="B36" s="8">
        <f t="shared" si="2"/>
        <v>8</v>
      </c>
      <c r="C36" s="6">
        <v>46037.0</v>
      </c>
      <c r="D36" s="5" t="s">
        <v>103</v>
      </c>
      <c r="E36" s="5" t="s">
        <v>106</v>
      </c>
      <c r="F36" s="7" t="s">
        <v>7</v>
      </c>
      <c r="G36" s="8">
        <v>14.0</v>
      </c>
      <c r="H36" s="8">
        <v>3800.0</v>
      </c>
      <c r="I36" s="8">
        <v>2500.0</v>
      </c>
      <c r="J36" s="10" t="str">
        <f t="shared" si="3"/>
        <v>Formosa</v>
      </c>
      <c r="K36" s="11">
        <f t="shared" si="4"/>
        <v>14</v>
      </c>
      <c r="L36" s="10" t="str">
        <f t="shared" ref="L36:M36" si="42">PROPER(E36)</f>
        <v>Ana Martinez</v>
      </c>
      <c r="M36" s="10" t="str">
        <f t="shared" si="42"/>
        <v>Yerba Mate Premium 1Kg</v>
      </c>
      <c r="N36" s="10" t="str">
        <f t="array" ref="N36">IFERROR(_xlfn.XLOOKUP(M36, Maestro_productos_15!$B:$B, Maestro_productos_15!$D:$D), "No encontrado")</f>
        <v>Cooperativa Neike</v>
      </c>
      <c r="O36" s="10" t="str">
        <f t="array" ref="O36">IFERROR(_xlfn.XLOOKUP(M36,Maestro_productos_15!$B:$B,Maestro_productos_15!$C:$C), "Sin Categoria")</f>
        <v>Alimentos</v>
      </c>
      <c r="P36" s="11">
        <f t="shared" si="6"/>
        <v>53200</v>
      </c>
      <c r="Q36" s="11">
        <f t="shared" si="7"/>
        <v>35000</v>
      </c>
      <c r="R36" s="11">
        <f t="shared" si="8"/>
        <v>18200</v>
      </c>
      <c r="S36" s="15">
        <f t="shared" si="9"/>
        <v>1064</v>
      </c>
    </row>
    <row r="37" ht="22.5" customHeight="1">
      <c r="A37" s="5" t="s">
        <v>147</v>
      </c>
      <c r="B37" s="8">
        <f t="shared" si="2"/>
        <v>8</v>
      </c>
      <c r="C37" s="6">
        <v>46036.0</v>
      </c>
      <c r="D37" s="5" t="s">
        <v>133</v>
      </c>
      <c r="E37" s="5" t="s">
        <v>115</v>
      </c>
      <c r="F37" s="7" t="s">
        <v>56</v>
      </c>
      <c r="G37" s="8">
        <v>7.0</v>
      </c>
      <c r="H37" s="8">
        <v>32000.0</v>
      </c>
      <c r="I37" s="8">
        <v>21000.0</v>
      </c>
      <c r="J37" s="10" t="str">
        <f t="shared" si="3"/>
        <v>Resistencia</v>
      </c>
      <c r="K37" s="11">
        <f t="shared" si="4"/>
        <v>7</v>
      </c>
      <c r="L37" s="10" t="str">
        <f t="shared" ref="L37:M37" si="43">PROPER(E37)</f>
        <v>Juan Perez</v>
      </c>
      <c r="M37" s="10" t="str">
        <f t="shared" si="43"/>
        <v>Termo Acero Inoxidable 1.3L</v>
      </c>
      <c r="N37" s="10" t="str">
        <f t="array" ref="N37">IFERROR(_xlfn.XLOOKUP(M37, Maestro_productos_15!$B:$B, Maestro_productos_15!$D:$D), "No encontrado")</f>
        <v>Distribuidora del Nordeste</v>
      </c>
      <c r="O37" s="10" t="str">
        <f t="array" ref="O37">IFERROR(_xlfn.XLOOKUP(M37,Maestro_productos_15!$B:$B,Maestro_productos_15!$C:$C), "Sin Categoria")</f>
        <v>Bazar</v>
      </c>
      <c r="P37" s="11">
        <f t="shared" si="6"/>
        <v>224000</v>
      </c>
      <c r="Q37" s="11">
        <f t="shared" si="7"/>
        <v>147000</v>
      </c>
      <c r="R37" s="11">
        <f t="shared" si="8"/>
        <v>77000</v>
      </c>
      <c r="S37" s="15">
        <f t="shared" si="9"/>
        <v>8960</v>
      </c>
    </row>
    <row r="38" ht="22.5" customHeight="1">
      <c r="A38" s="5" t="s">
        <v>148</v>
      </c>
      <c r="B38" s="8">
        <f t="shared" si="2"/>
        <v>8</v>
      </c>
      <c r="C38" s="6">
        <v>46025.0</v>
      </c>
      <c r="D38" s="5" t="s">
        <v>102</v>
      </c>
      <c r="E38" s="5" t="s">
        <v>100</v>
      </c>
      <c r="F38" s="7" t="s">
        <v>19</v>
      </c>
      <c r="G38" s="8">
        <v>16.0</v>
      </c>
      <c r="H38" s="8">
        <v>28000.0</v>
      </c>
      <c r="I38" s="8">
        <v>18000.0</v>
      </c>
      <c r="J38" s="10" t="str">
        <f t="shared" si="3"/>
        <v>Resistencia</v>
      </c>
      <c r="K38" s="11">
        <f t="shared" si="4"/>
        <v>16</v>
      </c>
      <c r="L38" s="10" t="str">
        <f t="shared" ref="L38:M38" si="44">PROPER(E38)</f>
        <v>Juan Perez</v>
      </c>
      <c r="M38" s="10" t="str">
        <f t="shared" si="44"/>
        <v>Auriculares Bluetooth Pro</v>
      </c>
      <c r="N38" s="10" t="str">
        <f t="array" ref="N38">IFERROR(_xlfn.XLOOKUP(M38, Maestro_productos_15!$B:$B, Maestro_productos_15!$D:$D), "No encontrado")</f>
        <v>TechImport S.R.L.</v>
      </c>
      <c r="O38" s="10" t="str">
        <f t="array" ref="O38">IFERROR(_xlfn.XLOOKUP(M38,Maestro_productos_15!$B:$B,Maestro_productos_15!$C:$C), "Sin Categoria")</f>
        <v>Tecnología</v>
      </c>
      <c r="P38" s="11">
        <f t="shared" si="6"/>
        <v>448000</v>
      </c>
      <c r="Q38" s="11">
        <f t="shared" si="7"/>
        <v>288000</v>
      </c>
      <c r="R38" s="11">
        <f t="shared" si="8"/>
        <v>160000</v>
      </c>
      <c r="S38" s="15">
        <f t="shared" si="9"/>
        <v>17920</v>
      </c>
    </row>
    <row r="39" ht="22.5" customHeight="1">
      <c r="A39" s="5" t="s">
        <v>149</v>
      </c>
      <c r="B39" s="8">
        <f t="shared" si="2"/>
        <v>8</v>
      </c>
      <c r="C39" s="6">
        <v>46069.0</v>
      </c>
      <c r="D39" s="5" t="s">
        <v>99</v>
      </c>
      <c r="E39" s="5" t="s">
        <v>100</v>
      </c>
      <c r="F39" s="7" t="s">
        <v>60</v>
      </c>
      <c r="G39" s="8">
        <v>3.0</v>
      </c>
      <c r="H39" s="8">
        <v>15000.0</v>
      </c>
      <c r="I39" s="8">
        <v>9500.0</v>
      </c>
      <c r="J39" s="10" t="str">
        <f t="shared" si="3"/>
        <v>Posadas</v>
      </c>
      <c r="K39" s="11">
        <f t="shared" si="4"/>
        <v>3</v>
      </c>
      <c r="L39" s="10" t="str">
        <f t="shared" ref="L39:M39" si="45">PROPER(E39)</f>
        <v>Juan Perez</v>
      </c>
      <c r="M39" s="10" t="str">
        <f t="shared" si="45"/>
        <v>Mouse Inalámbrico Ergonómico</v>
      </c>
      <c r="N39" s="10" t="str">
        <f t="array" ref="N39">IFERROR(_xlfn.XLOOKUP(M39, Maestro_productos_15!$B:$B, Maestro_productos_15!$D:$D), "No encontrado")</f>
        <v>TechImport S.R.L.</v>
      </c>
      <c r="O39" s="10" t="str">
        <f t="array" ref="O39">IFERROR(_xlfn.XLOOKUP(M39,Maestro_productos_15!$B:$B,Maestro_productos_15!$C:$C), "Sin Categoria")</f>
        <v>Tecnología</v>
      </c>
      <c r="P39" s="11">
        <f t="shared" si="6"/>
        <v>45000</v>
      </c>
      <c r="Q39" s="11">
        <f t="shared" si="7"/>
        <v>28500</v>
      </c>
      <c r="R39" s="11">
        <f t="shared" si="8"/>
        <v>16500</v>
      </c>
      <c r="S39" s="15">
        <f t="shared" si="9"/>
        <v>900</v>
      </c>
    </row>
    <row r="40" ht="22.5" customHeight="1">
      <c r="A40" s="5" t="s">
        <v>150</v>
      </c>
      <c r="B40" s="8">
        <f t="shared" si="2"/>
        <v>8</v>
      </c>
      <c r="C40" s="6">
        <v>46026.0</v>
      </c>
      <c r="D40" s="5" t="s">
        <v>99</v>
      </c>
      <c r="E40" s="5" t="s">
        <v>115</v>
      </c>
      <c r="F40" s="7" t="s">
        <v>51</v>
      </c>
      <c r="G40" s="8">
        <v>2.0</v>
      </c>
      <c r="H40" s="8">
        <v>8500.0</v>
      </c>
      <c r="I40" s="8">
        <v>4800.0</v>
      </c>
      <c r="J40" s="10" t="str">
        <f t="shared" si="3"/>
        <v>Posadas</v>
      </c>
      <c r="K40" s="11">
        <f t="shared" si="4"/>
        <v>2</v>
      </c>
      <c r="L40" s="10" t="str">
        <f t="shared" ref="L40:M40" si="46">PROPER(E40)</f>
        <v>Juan Perez</v>
      </c>
      <c r="M40" s="10" t="str">
        <f t="shared" si="46"/>
        <v>Mates De Madera Calada</v>
      </c>
      <c r="N40" s="10" t="str">
        <f t="array" ref="N40">IFERROR(_xlfn.XLOOKUP(M40, Maestro_productos_15!$B:$B, Maestro_productos_15!$D:$D), "No encontrado")</f>
        <v>Artesanías Guaraníes</v>
      </c>
      <c r="O40" s="10" t="str">
        <f t="array" ref="O40">IFERROR(_xlfn.XLOOKUP(M40,Maestro_productos_15!$B:$B,Maestro_productos_15!$C:$C), "Sin Categoria")</f>
        <v>Bazar</v>
      </c>
      <c r="P40" s="11">
        <f t="shared" si="6"/>
        <v>17000</v>
      </c>
      <c r="Q40" s="11">
        <f t="shared" si="7"/>
        <v>9600</v>
      </c>
      <c r="R40" s="11">
        <f t="shared" si="8"/>
        <v>7400</v>
      </c>
      <c r="S40" s="15">
        <f t="shared" si="9"/>
        <v>340</v>
      </c>
    </row>
    <row r="41" ht="22.5" customHeight="1">
      <c r="A41" s="5" t="s">
        <v>151</v>
      </c>
      <c r="B41" s="8">
        <f t="shared" si="2"/>
        <v>8</v>
      </c>
      <c r="C41" s="6">
        <v>46084.0</v>
      </c>
      <c r="D41" s="5" t="s">
        <v>102</v>
      </c>
      <c r="E41" s="5" t="s">
        <v>113</v>
      </c>
      <c r="F41" s="7" t="s">
        <v>56</v>
      </c>
      <c r="G41" s="8">
        <v>23.0</v>
      </c>
      <c r="H41" s="8">
        <v>32000.0</v>
      </c>
      <c r="I41" s="8">
        <v>21000.0</v>
      </c>
      <c r="J41" s="10" t="str">
        <f t="shared" si="3"/>
        <v>Resistencia</v>
      </c>
      <c r="K41" s="11">
        <f t="shared" si="4"/>
        <v>23</v>
      </c>
      <c r="L41" s="10" t="str">
        <f t="shared" ref="L41:M41" si="47">PROPER(E41)</f>
        <v>Maria Gomez</v>
      </c>
      <c r="M41" s="10" t="str">
        <f t="shared" si="47"/>
        <v>Termo Acero Inoxidable 1.3L</v>
      </c>
      <c r="N41" s="10" t="str">
        <f t="array" ref="N41">IFERROR(_xlfn.XLOOKUP(M41, Maestro_productos_15!$B:$B, Maestro_productos_15!$D:$D), "No encontrado")</f>
        <v>Distribuidora del Nordeste</v>
      </c>
      <c r="O41" s="10" t="str">
        <f t="array" ref="O41">IFERROR(_xlfn.XLOOKUP(M41,Maestro_productos_15!$B:$B,Maestro_productos_15!$C:$C), "Sin Categoria")</f>
        <v>Bazar</v>
      </c>
      <c r="P41" s="11">
        <f t="shared" si="6"/>
        <v>736000</v>
      </c>
      <c r="Q41" s="11">
        <f t="shared" si="7"/>
        <v>483000</v>
      </c>
      <c r="R41" s="11">
        <f t="shared" si="8"/>
        <v>253000</v>
      </c>
      <c r="S41" s="15">
        <f t="shared" si="9"/>
        <v>29440</v>
      </c>
    </row>
    <row r="42" ht="22.5" customHeight="1">
      <c r="A42" s="5" t="s">
        <v>152</v>
      </c>
      <c r="B42" s="8">
        <f t="shared" si="2"/>
        <v>8</v>
      </c>
      <c r="C42" s="6">
        <v>46108.0</v>
      </c>
      <c r="D42" s="5" t="s">
        <v>102</v>
      </c>
      <c r="E42" s="5" t="s">
        <v>141</v>
      </c>
      <c r="F42" s="7" t="s">
        <v>19</v>
      </c>
      <c r="G42" s="8">
        <v>25.0</v>
      </c>
      <c r="H42" s="8">
        <v>28000.0</v>
      </c>
      <c r="I42" s="8">
        <v>18000.0</v>
      </c>
      <c r="J42" s="10" t="str">
        <f t="shared" si="3"/>
        <v>Resistencia</v>
      </c>
      <c r="K42" s="11">
        <f t="shared" si="4"/>
        <v>25</v>
      </c>
      <c r="L42" s="10" t="str">
        <f t="shared" ref="L42:M42" si="48">PROPER(E42)</f>
        <v>Carlos Ruiz</v>
      </c>
      <c r="M42" s="10" t="str">
        <f t="shared" si="48"/>
        <v>Auriculares Bluetooth Pro</v>
      </c>
      <c r="N42" s="10" t="str">
        <f t="array" ref="N42">IFERROR(_xlfn.XLOOKUP(M42, Maestro_productos_15!$B:$B, Maestro_productos_15!$D:$D), "No encontrado")</f>
        <v>TechImport S.R.L.</v>
      </c>
      <c r="O42" s="10" t="str">
        <f t="array" ref="O42">IFERROR(_xlfn.XLOOKUP(M42,Maestro_productos_15!$B:$B,Maestro_productos_15!$C:$C), "Sin Categoria")</f>
        <v>Tecnología</v>
      </c>
      <c r="P42" s="11">
        <f t="shared" si="6"/>
        <v>700000</v>
      </c>
      <c r="Q42" s="11">
        <f t="shared" si="7"/>
        <v>450000</v>
      </c>
      <c r="R42" s="11">
        <f t="shared" si="8"/>
        <v>250000</v>
      </c>
      <c r="S42" s="15">
        <f t="shared" si="9"/>
        <v>28000</v>
      </c>
    </row>
    <row r="43" ht="22.5" customHeight="1">
      <c r="A43" s="5" t="s">
        <v>153</v>
      </c>
      <c r="B43" s="8">
        <f t="shared" si="2"/>
        <v>8</v>
      </c>
      <c r="C43" s="6">
        <v>46060.0</v>
      </c>
      <c r="D43" s="5" t="s">
        <v>88</v>
      </c>
      <c r="E43" s="5" t="s">
        <v>100</v>
      </c>
      <c r="F43" s="7" t="s">
        <v>38</v>
      </c>
      <c r="G43" s="8">
        <v>17.0</v>
      </c>
      <c r="H43" s="8">
        <v>29500.0</v>
      </c>
      <c r="I43" s="8">
        <v>20000.0</v>
      </c>
      <c r="J43" s="10" t="str">
        <f t="shared" si="3"/>
        <v>Corrientes</v>
      </c>
      <c r="K43" s="11">
        <f t="shared" si="4"/>
        <v>17</v>
      </c>
      <c r="L43" s="10" t="str">
        <f t="shared" ref="L43:M43" si="49">PROPER(E43)</f>
        <v>Juan Perez</v>
      </c>
      <c r="M43" s="10" t="str">
        <f t="shared" si="49"/>
        <v>Alimento Gato Castrado 10Kg</v>
      </c>
      <c r="N43" s="10" t="str">
        <f t="array" ref="N43">IFERROR(_xlfn.XLOOKUP(M43, Maestro_productos_15!$B:$B, Maestro_productos_15!$D:$D), "No encontrado")</f>
        <v>NutriDog Arg</v>
      </c>
      <c r="O43" s="10" t="str">
        <f t="array" ref="O43">IFERROR(_xlfn.XLOOKUP(M43,Maestro_productos_15!$B:$B,Maestro_productos_15!$C:$C), "Sin Categoria")</f>
        <v>Mascotas</v>
      </c>
      <c r="P43" s="11">
        <f t="shared" si="6"/>
        <v>501500</v>
      </c>
      <c r="Q43" s="11">
        <f t="shared" si="7"/>
        <v>340000</v>
      </c>
      <c r="R43" s="11">
        <f t="shared" si="8"/>
        <v>161500</v>
      </c>
      <c r="S43" s="15">
        <f t="shared" si="9"/>
        <v>30090</v>
      </c>
    </row>
    <row r="44" ht="22.5" customHeight="1">
      <c r="A44" s="5" t="s">
        <v>154</v>
      </c>
      <c r="B44" s="8">
        <f t="shared" si="2"/>
        <v>8</v>
      </c>
      <c r="C44" s="6">
        <v>46050.0</v>
      </c>
      <c r="D44" s="5" t="s">
        <v>102</v>
      </c>
      <c r="E44" s="5" t="s">
        <v>113</v>
      </c>
      <c r="F44" s="7" t="s">
        <v>71</v>
      </c>
      <c r="G44" s="8">
        <v>18.0</v>
      </c>
      <c r="H44" s="8">
        <v>22000.0</v>
      </c>
      <c r="I44" s="8">
        <v>14000.0</v>
      </c>
      <c r="J44" s="10" t="str">
        <f t="shared" si="3"/>
        <v>Resistencia</v>
      </c>
      <c r="K44" s="11">
        <f t="shared" si="4"/>
        <v>18</v>
      </c>
      <c r="L44" s="10" t="str">
        <f t="shared" ref="L44:M44" si="50">PROPER(E44)</f>
        <v>Maria Gomez</v>
      </c>
      <c r="M44" s="10" t="str">
        <f t="shared" si="50"/>
        <v>Cargador Rápido Usb-C 65W</v>
      </c>
      <c r="N44" s="10" t="str">
        <f t="array" ref="N44">IFERROR(_xlfn.XLOOKUP(M44, Maestro_productos_15!$B:$B, Maestro_productos_15!$D:$D), "No encontrado")</f>
        <v>TechImport S.R.L.</v>
      </c>
      <c r="O44" s="10" t="str">
        <f t="array" ref="O44">IFERROR(_xlfn.XLOOKUP(M44,Maestro_productos_15!$B:$B,Maestro_productos_15!$C:$C), "Sin Categoria")</f>
        <v>Tecnología</v>
      </c>
      <c r="P44" s="11">
        <f t="shared" si="6"/>
        <v>396000</v>
      </c>
      <c r="Q44" s="11">
        <f t="shared" si="7"/>
        <v>252000</v>
      </c>
      <c r="R44" s="11">
        <f t="shared" si="8"/>
        <v>144000</v>
      </c>
      <c r="S44" s="15">
        <f t="shared" si="9"/>
        <v>7920</v>
      </c>
    </row>
    <row r="45" ht="22.5" customHeight="1">
      <c r="A45" s="5" t="s">
        <v>155</v>
      </c>
      <c r="B45" s="8">
        <f t="shared" si="2"/>
        <v>8</v>
      </c>
      <c r="C45" s="6">
        <v>46084.0</v>
      </c>
      <c r="D45" s="5" t="s">
        <v>118</v>
      </c>
      <c r="E45" s="5" t="s">
        <v>106</v>
      </c>
      <c r="F45" s="7" t="s">
        <v>156</v>
      </c>
      <c r="G45" s="8">
        <v>22.0</v>
      </c>
      <c r="H45" s="8">
        <v>6200.0</v>
      </c>
      <c r="I45" s="8">
        <v>3800.0</v>
      </c>
      <c r="J45" s="10" t="str">
        <f t="shared" si="3"/>
        <v>Posadas</v>
      </c>
      <c r="K45" s="11">
        <f t="shared" si="4"/>
        <v>22</v>
      </c>
      <c r="L45" s="10" t="str">
        <f t="shared" ref="L45:M45" si="51">PROPER(E45)</f>
        <v>Ana Martinez</v>
      </c>
      <c r="M45" s="10" t="str">
        <f t="shared" si="51"/>
        <v>Shampoo Canino Neutro 500Ml</v>
      </c>
      <c r="N45" s="10" t="str">
        <f t="array" ref="N45">IFERROR(_xlfn.XLOOKUP(M45, Maestro_productos_15!$B:$B, Maestro_productos_15!$D:$D), "No encontrado")</f>
        <v>PetStyle Litoral</v>
      </c>
      <c r="O45" s="10" t="str">
        <f t="array" ref="O45">IFERROR(_xlfn.XLOOKUP(M45,Maestro_productos_15!$B:$B,Maestro_productos_15!$C:$C), "Sin Categoria")</f>
        <v>Mascotas</v>
      </c>
      <c r="P45" s="11">
        <f t="shared" si="6"/>
        <v>136400</v>
      </c>
      <c r="Q45" s="11">
        <f t="shared" si="7"/>
        <v>83600</v>
      </c>
      <c r="R45" s="11">
        <f t="shared" si="8"/>
        <v>52800</v>
      </c>
      <c r="S45" s="15">
        <f t="shared" si="9"/>
        <v>2728</v>
      </c>
    </row>
    <row r="46" ht="22.5" customHeight="1">
      <c r="A46" s="5" t="s">
        <v>157</v>
      </c>
      <c r="B46" s="8">
        <f t="shared" si="2"/>
        <v>8</v>
      </c>
      <c r="C46" s="6">
        <v>46107.0</v>
      </c>
      <c r="D46" s="5" t="s">
        <v>88</v>
      </c>
      <c r="E46" s="5" t="s">
        <v>90</v>
      </c>
      <c r="F46" s="7" t="s">
        <v>25</v>
      </c>
      <c r="G46" s="8">
        <v>9.0</v>
      </c>
      <c r="H46" s="8">
        <v>19500.0</v>
      </c>
      <c r="I46" s="8">
        <v>12000.0</v>
      </c>
      <c r="J46" s="10" t="str">
        <f t="shared" si="3"/>
        <v>Corrientes</v>
      </c>
      <c r="K46" s="11">
        <f t="shared" si="4"/>
        <v>9</v>
      </c>
      <c r="L46" s="10" t="str">
        <f t="shared" ref="L46:M46" si="52">PROPER(E46)</f>
        <v>Ana Martinez</v>
      </c>
      <c r="M46" s="10" t="str">
        <f t="shared" si="52"/>
        <v>Soporte Regulable Notebook</v>
      </c>
      <c r="N46" s="10" t="str">
        <f t="array" ref="N46">IFERROR(_xlfn.XLOOKUP(M46, Maestro_productos_15!$B:$B, Maestro_productos_15!$D:$D), "No encontrado")</f>
        <v>TechImport S.R.L.</v>
      </c>
      <c r="O46" s="10" t="str">
        <f t="array" ref="O46">IFERROR(_xlfn.XLOOKUP(M46,Maestro_productos_15!$B:$B,Maestro_productos_15!$C:$C), "Sin Categoria")</f>
        <v>Tecnología</v>
      </c>
      <c r="P46" s="11">
        <f t="shared" si="6"/>
        <v>175500</v>
      </c>
      <c r="Q46" s="11">
        <f t="shared" si="7"/>
        <v>108000</v>
      </c>
      <c r="R46" s="11">
        <f t="shared" si="8"/>
        <v>67500</v>
      </c>
      <c r="S46" s="15">
        <f t="shared" si="9"/>
        <v>3510</v>
      </c>
    </row>
    <row r="47" ht="22.5" customHeight="1">
      <c r="A47" s="5" t="s">
        <v>158</v>
      </c>
      <c r="B47" s="8">
        <f t="shared" si="2"/>
        <v>8</v>
      </c>
      <c r="C47" s="6">
        <v>46075.0</v>
      </c>
      <c r="D47" s="5" t="s">
        <v>118</v>
      </c>
      <c r="E47" s="5" t="s">
        <v>106</v>
      </c>
      <c r="F47" s="7" t="s">
        <v>56</v>
      </c>
      <c r="G47" s="8">
        <v>16.0</v>
      </c>
      <c r="H47" s="8">
        <v>32000.0</v>
      </c>
      <c r="I47" s="8">
        <v>21000.0</v>
      </c>
      <c r="J47" s="10" t="str">
        <f t="shared" si="3"/>
        <v>Posadas</v>
      </c>
      <c r="K47" s="11">
        <f t="shared" si="4"/>
        <v>16</v>
      </c>
      <c r="L47" s="10" t="str">
        <f t="shared" ref="L47:M47" si="53">PROPER(E47)</f>
        <v>Ana Martinez</v>
      </c>
      <c r="M47" s="10" t="str">
        <f t="shared" si="53"/>
        <v>Termo Acero Inoxidable 1.3L</v>
      </c>
      <c r="N47" s="10" t="str">
        <f t="array" ref="N47">IFERROR(_xlfn.XLOOKUP(M47, Maestro_productos_15!$B:$B, Maestro_productos_15!$D:$D), "No encontrado")</f>
        <v>Distribuidora del Nordeste</v>
      </c>
      <c r="O47" s="10" t="str">
        <f t="array" ref="O47">IFERROR(_xlfn.XLOOKUP(M47,Maestro_productos_15!$B:$B,Maestro_productos_15!$C:$C), "Sin Categoria")</f>
        <v>Bazar</v>
      </c>
      <c r="P47" s="11">
        <f t="shared" si="6"/>
        <v>512000</v>
      </c>
      <c r="Q47" s="11">
        <f t="shared" si="7"/>
        <v>336000</v>
      </c>
      <c r="R47" s="11">
        <f t="shared" si="8"/>
        <v>176000</v>
      </c>
      <c r="S47" s="15">
        <f t="shared" si="9"/>
        <v>20480</v>
      </c>
    </row>
    <row r="48" ht="22.5" customHeight="1">
      <c r="A48" s="5" t="s">
        <v>159</v>
      </c>
      <c r="B48" s="8">
        <f t="shared" si="2"/>
        <v>8</v>
      </c>
      <c r="C48" s="6">
        <v>46024.0</v>
      </c>
      <c r="D48" s="5" t="s">
        <v>133</v>
      </c>
      <c r="E48" s="5" t="s">
        <v>106</v>
      </c>
      <c r="F48" s="7" t="s">
        <v>64</v>
      </c>
      <c r="G48" s="8">
        <v>1.0</v>
      </c>
      <c r="H48" s="8">
        <v>6200.0</v>
      </c>
      <c r="I48" s="8">
        <v>3800.0</v>
      </c>
      <c r="J48" s="10" t="str">
        <f t="shared" si="3"/>
        <v>Resistencia</v>
      </c>
      <c r="K48" s="11">
        <f t="shared" si="4"/>
        <v>1</v>
      </c>
      <c r="L48" s="10" t="str">
        <f t="shared" ref="L48:M48" si="54">PROPER(E48)</f>
        <v>Ana Martinez</v>
      </c>
      <c r="M48" s="10" t="str">
        <f t="shared" si="54"/>
        <v>Shampoo Canino Neutro 500Ml</v>
      </c>
      <c r="N48" s="10" t="str">
        <f t="array" ref="N48">IFERROR(_xlfn.XLOOKUP(M48, Maestro_productos_15!$B:$B, Maestro_productos_15!$D:$D), "No encontrado")</f>
        <v>PetStyle Litoral</v>
      </c>
      <c r="O48" s="10" t="str">
        <f t="array" ref="O48">IFERROR(_xlfn.XLOOKUP(M48,Maestro_productos_15!$B:$B,Maestro_productos_15!$C:$C), "Sin Categoria")</f>
        <v>Mascotas</v>
      </c>
      <c r="P48" s="11">
        <f t="shared" si="6"/>
        <v>6200</v>
      </c>
      <c r="Q48" s="11">
        <f t="shared" si="7"/>
        <v>3800</v>
      </c>
      <c r="R48" s="11">
        <f t="shared" si="8"/>
        <v>2400</v>
      </c>
      <c r="S48" s="15">
        <f t="shared" si="9"/>
        <v>124</v>
      </c>
    </row>
    <row r="49" ht="22.5" customHeight="1">
      <c r="A49" s="5" t="s">
        <v>160</v>
      </c>
      <c r="B49" s="8">
        <f t="shared" si="2"/>
        <v>8</v>
      </c>
      <c r="C49" s="6">
        <v>46086.0</v>
      </c>
      <c r="D49" s="5" t="s">
        <v>133</v>
      </c>
      <c r="E49" s="5" t="s">
        <v>127</v>
      </c>
      <c r="F49" s="7" t="s">
        <v>161</v>
      </c>
      <c r="G49" s="8">
        <v>18.0</v>
      </c>
      <c r="H49" s="8">
        <v>3800.0</v>
      </c>
      <c r="I49" s="8">
        <v>2500.0</v>
      </c>
      <c r="J49" s="10" t="str">
        <f t="shared" si="3"/>
        <v>Resistencia</v>
      </c>
      <c r="K49" s="11">
        <f t="shared" si="4"/>
        <v>18</v>
      </c>
      <c r="L49" s="10" t="str">
        <f t="shared" ref="L49:M49" si="55">PROPER(E49)</f>
        <v>Carlos Ruiz</v>
      </c>
      <c r="M49" s="10" t="str">
        <f t="shared" si="55"/>
        <v>Yerba Mate Premium 1Kg</v>
      </c>
      <c r="N49" s="10" t="str">
        <f t="array" ref="N49">IFERROR(_xlfn.XLOOKUP(M49, Maestro_productos_15!$B:$B, Maestro_productos_15!$D:$D), "No encontrado")</f>
        <v>Cooperativa Neike</v>
      </c>
      <c r="O49" s="10" t="str">
        <f t="array" ref="O49">IFERROR(_xlfn.XLOOKUP(M49,Maestro_productos_15!$B:$B,Maestro_productos_15!$C:$C), "Sin Categoria")</f>
        <v>Alimentos</v>
      </c>
      <c r="P49" s="11">
        <f t="shared" si="6"/>
        <v>68400</v>
      </c>
      <c r="Q49" s="11">
        <f t="shared" si="7"/>
        <v>45000</v>
      </c>
      <c r="R49" s="11">
        <f t="shared" si="8"/>
        <v>23400</v>
      </c>
      <c r="S49" s="15">
        <f t="shared" si="9"/>
        <v>1368</v>
      </c>
    </row>
    <row r="50" ht="22.5" customHeight="1">
      <c r="A50" s="5" t="s">
        <v>167</v>
      </c>
      <c r="B50" s="8">
        <f t="shared" si="2"/>
        <v>8</v>
      </c>
      <c r="C50" s="6">
        <v>46037.0</v>
      </c>
      <c r="D50" s="5" t="s">
        <v>118</v>
      </c>
      <c r="E50" s="5" t="s">
        <v>115</v>
      </c>
      <c r="F50" s="7" t="s">
        <v>29</v>
      </c>
      <c r="G50" s="8">
        <v>12.0</v>
      </c>
      <c r="H50" s="8">
        <v>9200.0</v>
      </c>
      <c r="I50" s="8">
        <v>5500.0</v>
      </c>
      <c r="J50" s="10" t="str">
        <f t="shared" si="3"/>
        <v>Posadas</v>
      </c>
      <c r="K50" s="11">
        <f t="shared" si="4"/>
        <v>12</v>
      </c>
      <c r="L50" s="10" t="str">
        <f t="shared" ref="L50:M50" si="56">PROPER(E50)</f>
        <v>Juan Perez</v>
      </c>
      <c r="M50" s="10" t="str">
        <f t="shared" si="56"/>
        <v>Correa Reforzada Canina 3M</v>
      </c>
      <c r="N50" s="10" t="str">
        <f t="array" ref="N50">IFERROR(_xlfn.XLOOKUP(M50, Maestro_productos_15!$B:$B, Maestro_productos_15!$D:$D), "No encontrado")</f>
        <v>PetStyle Litoral</v>
      </c>
      <c r="O50" s="10" t="str">
        <f t="array" ref="O50">IFERROR(_xlfn.XLOOKUP(M50,Maestro_productos_15!$B:$B,Maestro_productos_15!$C:$C), "Sin Categoria")</f>
        <v>Mascotas</v>
      </c>
      <c r="P50" s="11">
        <f t="shared" si="6"/>
        <v>110400</v>
      </c>
      <c r="Q50" s="11">
        <f t="shared" si="7"/>
        <v>66000</v>
      </c>
      <c r="R50" s="11">
        <f t="shared" si="8"/>
        <v>44400</v>
      </c>
      <c r="S50" s="15">
        <f t="shared" si="9"/>
        <v>2208</v>
      </c>
    </row>
    <row r="51" ht="22.5" customHeight="1">
      <c r="A51" s="5" t="s">
        <v>168</v>
      </c>
      <c r="B51" s="8">
        <f t="shared" si="2"/>
        <v>8</v>
      </c>
      <c r="C51" s="6">
        <v>46103.0</v>
      </c>
      <c r="D51" s="5" t="s">
        <v>102</v>
      </c>
      <c r="E51" s="5" t="s">
        <v>106</v>
      </c>
      <c r="F51" s="7" t="s">
        <v>19</v>
      </c>
      <c r="G51" s="8">
        <v>2.0</v>
      </c>
      <c r="H51" s="8">
        <v>28000.0</v>
      </c>
      <c r="I51" s="8">
        <v>18000.0</v>
      </c>
      <c r="J51" s="10" t="str">
        <f t="shared" si="3"/>
        <v>Resistencia</v>
      </c>
      <c r="K51" s="11">
        <f t="shared" si="4"/>
        <v>2</v>
      </c>
      <c r="L51" s="10" t="str">
        <f t="shared" ref="L51:M51" si="57">PROPER(E51)</f>
        <v>Ana Martinez</v>
      </c>
      <c r="M51" s="10" t="str">
        <f t="shared" si="57"/>
        <v>Auriculares Bluetooth Pro</v>
      </c>
      <c r="N51" s="10" t="str">
        <f t="array" ref="N51">IFERROR(_xlfn.XLOOKUP(M51, Maestro_productos_15!$B:$B, Maestro_productos_15!$D:$D), "No encontrado")</f>
        <v>TechImport S.R.L.</v>
      </c>
      <c r="O51" s="10" t="str">
        <f t="array" ref="O51">IFERROR(_xlfn.XLOOKUP(M51,Maestro_productos_15!$B:$B,Maestro_productos_15!$C:$C), "Sin Categoria")</f>
        <v>Tecnología</v>
      </c>
      <c r="P51" s="11">
        <f t="shared" si="6"/>
        <v>56000</v>
      </c>
      <c r="Q51" s="11">
        <f t="shared" si="7"/>
        <v>36000</v>
      </c>
      <c r="R51" s="11">
        <f t="shared" si="8"/>
        <v>20000</v>
      </c>
      <c r="S51" s="15">
        <f t="shared" si="9"/>
        <v>2240</v>
      </c>
    </row>
    <row r="52" ht="22.5" customHeight="1">
      <c r="A52" s="5" t="s">
        <v>169</v>
      </c>
      <c r="B52" s="8">
        <f t="shared" si="2"/>
        <v>8</v>
      </c>
      <c r="C52" s="6">
        <v>46069.0</v>
      </c>
      <c r="D52" s="5" t="s">
        <v>102</v>
      </c>
      <c r="E52" s="5" t="s">
        <v>106</v>
      </c>
      <c r="F52" s="7" t="s">
        <v>13</v>
      </c>
      <c r="G52" s="8">
        <v>14.0</v>
      </c>
      <c r="H52" s="8">
        <v>35000.0</v>
      </c>
      <c r="I52" s="8">
        <v>24000.0</v>
      </c>
      <c r="J52" s="10" t="str">
        <f t="shared" si="3"/>
        <v>Resistencia</v>
      </c>
      <c r="K52" s="11">
        <f t="shared" si="4"/>
        <v>14</v>
      </c>
      <c r="L52" s="10" t="str">
        <f t="shared" ref="L52:M52" si="58">PROPER(E52)</f>
        <v>Ana Martinez</v>
      </c>
      <c r="M52" s="10" t="str">
        <f t="shared" si="58"/>
        <v>Alimento Perro Adulto 15Kg</v>
      </c>
      <c r="N52" s="10" t="str">
        <f t="array" ref="N52">IFERROR(_xlfn.XLOOKUP(M52, Maestro_productos_15!$B:$B, Maestro_productos_15!$D:$D), "No encontrado")</f>
        <v>NutriDog Arg</v>
      </c>
      <c r="O52" s="10" t="str">
        <f t="array" ref="O52">IFERROR(_xlfn.XLOOKUP(M52,Maestro_productos_15!$B:$B,Maestro_productos_15!$C:$C), "Sin Categoria")</f>
        <v>Mascotas</v>
      </c>
      <c r="P52" s="11">
        <f t="shared" si="6"/>
        <v>490000</v>
      </c>
      <c r="Q52" s="11">
        <f t="shared" si="7"/>
        <v>336000</v>
      </c>
      <c r="R52" s="11">
        <f t="shared" si="8"/>
        <v>154000</v>
      </c>
      <c r="S52" s="15">
        <f t="shared" si="9"/>
        <v>19600</v>
      </c>
    </row>
    <row r="53" ht="22.5" customHeight="1">
      <c r="A53" s="5" t="s">
        <v>170</v>
      </c>
      <c r="B53" s="8">
        <f t="shared" si="2"/>
        <v>8</v>
      </c>
      <c r="C53" s="6">
        <v>46066.0</v>
      </c>
      <c r="D53" s="5" t="s">
        <v>103</v>
      </c>
      <c r="E53" s="5" t="s">
        <v>106</v>
      </c>
      <c r="F53" s="7" t="s">
        <v>171</v>
      </c>
      <c r="G53" s="8">
        <v>14.0</v>
      </c>
      <c r="H53" s="8">
        <v>18500.0</v>
      </c>
      <c r="I53" s="8">
        <v>12500.0</v>
      </c>
      <c r="J53" s="10" t="str">
        <f t="shared" si="3"/>
        <v>Formosa</v>
      </c>
      <c r="K53" s="11">
        <f t="shared" si="4"/>
        <v>14</v>
      </c>
      <c r="L53" s="10" t="str">
        <f t="shared" ref="L53:M53" si="59">PROPER(E53)</f>
        <v>Ana Martinez</v>
      </c>
      <c r="M53" s="10" t="str">
        <f t="shared" si="59"/>
        <v>Café En Grano Intenso 1Kg</v>
      </c>
      <c r="N53" s="10" t="str">
        <f t="array" ref="N53">IFERROR(_xlfn.XLOOKUP(M53, Maestro_productos_15!$B:$B, Maestro_productos_15!$D:$D), "No encontrado")</f>
        <v>Distribuidora del Nordeste</v>
      </c>
      <c r="O53" s="10" t="str">
        <f t="array" ref="O53">IFERROR(_xlfn.XLOOKUP(M53,Maestro_productos_15!$B:$B,Maestro_productos_15!$C:$C), "Sin Categoria")</f>
        <v>Alimentos</v>
      </c>
      <c r="P53" s="11">
        <f t="shared" si="6"/>
        <v>259000</v>
      </c>
      <c r="Q53" s="11">
        <f t="shared" si="7"/>
        <v>175000</v>
      </c>
      <c r="R53" s="11">
        <f t="shared" si="8"/>
        <v>84000</v>
      </c>
      <c r="S53" s="15">
        <f t="shared" si="9"/>
        <v>5180</v>
      </c>
    </row>
    <row r="54" ht="22.5" customHeight="1">
      <c r="A54" s="5" t="s">
        <v>172</v>
      </c>
      <c r="B54" s="8">
        <f t="shared" si="2"/>
        <v>8</v>
      </c>
      <c r="C54" s="6">
        <v>46099.0</v>
      </c>
      <c r="D54" s="5" t="s">
        <v>103</v>
      </c>
      <c r="E54" s="5" t="s">
        <v>141</v>
      </c>
      <c r="F54" s="7" t="s">
        <v>25</v>
      </c>
      <c r="G54" s="8">
        <v>24.0</v>
      </c>
      <c r="H54" s="8">
        <v>19500.0</v>
      </c>
      <c r="I54" s="8">
        <v>12000.0</v>
      </c>
      <c r="J54" s="10" t="str">
        <f t="shared" si="3"/>
        <v>Formosa</v>
      </c>
      <c r="K54" s="11">
        <f t="shared" si="4"/>
        <v>24</v>
      </c>
      <c r="L54" s="10" t="str">
        <f t="shared" ref="L54:M54" si="60">PROPER(E54)</f>
        <v>Carlos Ruiz</v>
      </c>
      <c r="M54" s="10" t="str">
        <f t="shared" si="60"/>
        <v>Soporte Regulable Notebook</v>
      </c>
      <c r="N54" s="10" t="str">
        <f t="array" ref="N54">IFERROR(_xlfn.XLOOKUP(M54, Maestro_productos_15!$B:$B, Maestro_productos_15!$D:$D), "No encontrado")</f>
        <v>TechImport S.R.L.</v>
      </c>
      <c r="O54" s="10" t="str">
        <f t="array" ref="O54">IFERROR(_xlfn.XLOOKUP(M54,Maestro_productos_15!$B:$B,Maestro_productos_15!$C:$C), "Sin Categoria")</f>
        <v>Tecnología</v>
      </c>
      <c r="P54" s="11">
        <f t="shared" si="6"/>
        <v>468000</v>
      </c>
      <c r="Q54" s="11">
        <f t="shared" si="7"/>
        <v>288000</v>
      </c>
      <c r="R54" s="11">
        <f t="shared" si="8"/>
        <v>180000</v>
      </c>
      <c r="S54" s="15">
        <f t="shared" si="9"/>
        <v>9360</v>
      </c>
    </row>
    <row r="55" ht="22.5" customHeight="1">
      <c r="A55" s="5" t="s">
        <v>173</v>
      </c>
      <c r="B55" s="8">
        <f t="shared" si="2"/>
        <v>8</v>
      </c>
      <c r="C55" s="6">
        <v>46104.0</v>
      </c>
      <c r="D55" s="5" t="s">
        <v>103</v>
      </c>
      <c r="E55" s="5" t="s">
        <v>100</v>
      </c>
      <c r="F55" s="7" t="s">
        <v>13</v>
      </c>
      <c r="G55" s="8">
        <v>8.0</v>
      </c>
      <c r="H55" s="8">
        <v>35000.0</v>
      </c>
      <c r="I55" s="8">
        <v>24000.0</v>
      </c>
      <c r="J55" s="10" t="str">
        <f t="shared" si="3"/>
        <v>Formosa</v>
      </c>
      <c r="K55" s="11">
        <f t="shared" si="4"/>
        <v>8</v>
      </c>
      <c r="L55" s="10" t="str">
        <f t="shared" ref="L55:M55" si="61">PROPER(E55)</f>
        <v>Juan Perez</v>
      </c>
      <c r="M55" s="10" t="str">
        <f t="shared" si="61"/>
        <v>Alimento Perro Adulto 15Kg</v>
      </c>
      <c r="N55" s="10" t="str">
        <f t="array" ref="N55">IFERROR(_xlfn.XLOOKUP(M55, Maestro_productos_15!$B:$B, Maestro_productos_15!$D:$D), "No encontrado")</f>
        <v>NutriDog Arg</v>
      </c>
      <c r="O55" s="10" t="str">
        <f t="array" ref="O55">IFERROR(_xlfn.XLOOKUP(M55,Maestro_productos_15!$B:$B,Maestro_productos_15!$C:$C), "Sin Categoria")</f>
        <v>Mascotas</v>
      </c>
      <c r="P55" s="11">
        <f t="shared" si="6"/>
        <v>280000</v>
      </c>
      <c r="Q55" s="11">
        <f t="shared" si="7"/>
        <v>192000</v>
      </c>
      <c r="R55" s="11">
        <f t="shared" si="8"/>
        <v>88000</v>
      </c>
      <c r="S55" s="15">
        <f t="shared" si="9"/>
        <v>11200</v>
      </c>
    </row>
    <row r="56" ht="22.5" customHeight="1">
      <c r="A56" s="5" t="s">
        <v>174</v>
      </c>
      <c r="B56" s="8">
        <f t="shared" si="2"/>
        <v>8</v>
      </c>
      <c r="C56" s="6">
        <v>46076.0</v>
      </c>
      <c r="D56" s="5" t="s">
        <v>103</v>
      </c>
      <c r="E56" s="5" t="s">
        <v>106</v>
      </c>
      <c r="F56" s="7" t="s">
        <v>56</v>
      </c>
      <c r="G56" s="8">
        <v>-5.0</v>
      </c>
      <c r="H56" s="8">
        <v>32000.0</v>
      </c>
      <c r="I56" s="8">
        <v>21000.0</v>
      </c>
      <c r="J56" s="10" t="str">
        <f t="shared" si="3"/>
        <v>Formosa</v>
      </c>
      <c r="K56" s="10">
        <f t="shared" si="4"/>
        <v>1</v>
      </c>
      <c r="L56" s="10" t="str">
        <f t="shared" ref="L56:M56" si="62">PROPER(E56)</f>
        <v>Ana Martinez</v>
      </c>
      <c r="M56" s="10" t="str">
        <f t="shared" si="62"/>
        <v>Termo Acero Inoxidable 1.3L</v>
      </c>
      <c r="N56" s="10" t="str">
        <f t="array" ref="N56">IFERROR(_xlfn.XLOOKUP(M56, Maestro_productos_15!$B:$B, Maestro_productos_15!$D:$D), "No encontrado")</f>
        <v>Distribuidora del Nordeste</v>
      </c>
      <c r="O56" s="10" t="str">
        <f t="array" ref="O56">IFERROR(_xlfn.XLOOKUP(M56,Maestro_productos_15!$B:$B,Maestro_productos_15!$C:$C), "Sin Categoria")</f>
        <v>Bazar</v>
      </c>
      <c r="P56" s="11">
        <f t="shared" si="6"/>
        <v>-160000</v>
      </c>
      <c r="Q56" s="11">
        <f t="shared" si="7"/>
        <v>-105000</v>
      </c>
      <c r="R56" s="11">
        <f t="shared" si="8"/>
        <v>-55000</v>
      </c>
      <c r="S56" s="15">
        <f t="shared" si="9"/>
        <v>1280</v>
      </c>
    </row>
    <row r="57" ht="22.5" customHeight="1">
      <c r="A57" s="5" t="s">
        <v>175</v>
      </c>
      <c r="B57" s="8">
        <f t="shared" si="2"/>
        <v>8</v>
      </c>
      <c r="C57" s="6">
        <v>46112.0</v>
      </c>
      <c r="D57" s="5" t="s">
        <v>103</v>
      </c>
      <c r="E57" s="5" t="s">
        <v>113</v>
      </c>
      <c r="F57" s="7" t="s">
        <v>67</v>
      </c>
      <c r="G57" s="8">
        <v>17.0</v>
      </c>
      <c r="H57" s="8">
        <v>3100.0</v>
      </c>
      <c r="I57" s="8">
        <v>1800.0</v>
      </c>
      <c r="J57" s="10" t="str">
        <f t="shared" si="3"/>
        <v>Formosa</v>
      </c>
      <c r="K57" s="11">
        <f t="shared" si="4"/>
        <v>17</v>
      </c>
      <c r="L57" s="10" t="str">
        <f t="shared" ref="L57:M57" si="63">PROPER(E57)</f>
        <v>Maria Gomez</v>
      </c>
      <c r="M57" s="10" t="str">
        <f t="shared" si="63"/>
        <v>Snack Premios Perro 250G</v>
      </c>
      <c r="N57" s="10" t="str">
        <f t="array" ref="N57">IFERROR(_xlfn.XLOOKUP(M57, Maestro_productos_15!$B:$B, Maestro_productos_15!$D:$D), "No encontrado")</f>
        <v>NutriDog Arg</v>
      </c>
      <c r="O57" s="10" t="str">
        <f t="array" ref="O57">IFERROR(_xlfn.XLOOKUP(M57,Maestro_productos_15!$B:$B,Maestro_productos_15!$C:$C), "Sin Categoria")</f>
        <v>Mascotas</v>
      </c>
      <c r="P57" s="11">
        <f t="shared" si="6"/>
        <v>52700</v>
      </c>
      <c r="Q57" s="11">
        <f t="shared" si="7"/>
        <v>30600</v>
      </c>
      <c r="R57" s="11">
        <f t="shared" si="8"/>
        <v>22100</v>
      </c>
      <c r="S57" s="15">
        <f t="shared" si="9"/>
        <v>1054</v>
      </c>
    </row>
    <row r="58" ht="22.5" customHeight="1">
      <c r="A58" s="5" t="s">
        <v>176</v>
      </c>
      <c r="B58" s="8">
        <f t="shared" si="2"/>
        <v>8</v>
      </c>
      <c r="C58" s="6">
        <v>46024.0</v>
      </c>
      <c r="D58" s="5" t="s">
        <v>88</v>
      </c>
      <c r="E58" s="5" t="s">
        <v>100</v>
      </c>
      <c r="F58" s="7" t="s">
        <v>42</v>
      </c>
      <c r="G58" s="8">
        <v>9.0</v>
      </c>
      <c r="H58" s="8">
        <v>45000.0</v>
      </c>
      <c r="I58" s="8">
        <v>30000.0</v>
      </c>
      <c r="J58" s="10" t="str">
        <f t="shared" si="3"/>
        <v>Corrientes</v>
      </c>
      <c r="K58" s="11">
        <f t="shared" si="4"/>
        <v>9</v>
      </c>
      <c r="L58" s="10" t="str">
        <f t="shared" ref="L58:M58" si="64">PROPER(E58)</f>
        <v>Juan Perez</v>
      </c>
      <c r="M58" s="10" t="str">
        <f t="shared" si="64"/>
        <v>Teclado Mecánico Rgb</v>
      </c>
      <c r="N58" s="10" t="str">
        <f t="array" ref="N58">IFERROR(_xlfn.XLOOKUP(M58, Maestro_productos_15!$B:$B, Maestro_productos_15!$D:$D), "No encontrado")</f>
        <v>TechImport S.R.L.</v>
      </c>
      <c r="O58" s="10" t="str">
        <f t="array" ref="O58">IFERROR(_xlfn.XLOOKUP(M58,Maestro_productos_15!$B:$B,Maestro_productos_15!$C:$C), "Sin Categoria")</f>
        <v>Tecnología</v>
      </c>
      <c r="P58" s="11">
        <f t="shared" si="6"/>
        <v>405000</v>
      </c>
      <c r="Q58" s="11">
        <f t="shared" si="7"/>
        <v>270000</v>
      </c>
      <c r="R58" s="11">
        <f t="shared" si="8"/>
        <v>135000</v>
      </c>
      <c r="S58" s="15">
        <f t="shared" si="9"/>
        <v>24300</v>
      </c>
    </row>
    <row r="59" ht="22.5" customHeight="1">
      <c r="A59" s="5" t="s">
        <v>177</v>
      </c>
      <c r="B59" s="8">
        <f t="shared" si="2"/>
        <v>8</v>
      </c>
      <c r="C59" s="6">
        <v>46064.0</v>
      </c>
      <c r="D59" s="5" t="s">
        <v>99</v>
      </c>
      <c r="E59" s="5" t="s">
        <v>141</v>
      </c>
      <c r="F59" s="7" t="s">
        <v>60</v>
      </c>
      <c r="G59" s="8">
        <v>11.0</v>
      </c>
      <c r="H59" s="8">
        <v>15000.0</v>
      </c>
      <c r="I59" s="8">
        <v>9500.0</v>
      </c>
      <c r="J59" s="10" t="str">
        <f t="shared" si="3"/>
        <v>Posadas</v>
      </c>
      <c r="K59" s="11">
        <f t="shared" si="4"/>
        <v>11</v>
      </c>
      <c r="L59" s="10" t="str">
        <f t="shared" ref="L59:M59" si="65">PROPER(E59)</f>
        <v>Carlos Ruiz</v>
      </c>
      <c r="M59" s="10" t="str">
        <f t="shared" si="65"/>
        <v>Mouse Inalámbrico Ergonómico</v>
      </c>
      <c r="N59" s="10" t="str">
        <f t="array" ref="N59">IFERROR(_xlfn.XLOOKUP(M59, Maestro_productos_15!$B:$B, Maestro_productos_15!$D:$D), "No encontrado")</f>
        <v>TechImport S.R.L.</v>
      </c>
      <c r="O59" s="10" t="str">
        <f t="array" ref="O59">IFERROR(_xlfn.XLOOKUP(M59,Maestro_productos_15!$B:$B,Maestro_productos_15!$C:$C), "Sin Categoria")</f>
        <v>Tecnología</v>
      </c>
      <c r="P59" s="11">
        <f t="shared" si="6"/>
        <v>165000</v>
      </c>
      <c r="Q59" s="11">
        <f t="shared" si="7"/>
        <v>104500</v>
      </c>
      <c r="R59" s="11">
        <f t="shared" si="8"/>
        <v>60500</v>
      </c>
      <c r="S59" s="15">
        <f t="shared" si="9"/>
        <v>3300</v>
      </c>
    </row>
    <row r="60" ht="22.5" customHeight="1">
      <c r="A60" s="5" t="s">
        <v>178</v>
      </c>
      <c r="B60" s="8">
        <f t="shared" si="2"/>
        <v>8</v>
      </c>
      <c r="C60" s="6">
        <v>46112.0</v>
      </c>
      <c r="D60" s="5" t="s">
        <v>99</v>
      </c>
      <c r="E60" s="5" t="s">
        <v>115</v>
      </c>
      <c r="F60" s="7" t="s">
        <v>19</v>
      </c>
      <c r="G60" s="8">
        <v>23.0</v>
      </c>
      <c r="H60" s="8">
        <v>28000.0</v>
      </c>
      <c r="I60" s="8">
        <v>18000.0</v>
      </c>
      <c r="J60" s="10" t="str">
        <f t="shared" si="3"/>
        <v>Posadas</v>
      </c>
      <c r="K60" s="11">
        <f t="shared" si="4"/>
        <v>23</v>
      </c>
      <c r="L60" s="10" t="str">
        <f t="shared" ref="L60:M60" si="66">PROPER(E60)</f>
        <v>Juan Perez</v>
      </c>
      <c r="M60" s="10" t="str">
        <f t="shared" si="66"/>
        <v>Auriculares Bluetooth Pro</v>
      </c>
      <c r="N60" s="10" t="str">
        <f t="array" ref="N60">IFERROR(_xlfn.XLOOKUP(M60, Maestro_productos_15!$B:$B, Maestro_productos_15!$D:$D), "No encontrado")</f>
        <v>TechImport S.R.L.</v>
      </c>
      <c r="O60" s="10" t="str">
        <f t="array" ref="O60">IFERROR(_xlfn.XLOOKUP(M60,Maestro_productos_15!$B:$B,Maestro_productos_15!$C:$C), "Sin Categoria")</f>
        <v>Tecnología</v>
      </c>
      <c r="P60" s="11">
        <f t="shared" si="6"/>
        <v>644000</v>
      </c>
      <c r="Q60" s="11">
        <f t="shared" si="7"/>
        <v>414000</v>
      </c>
      <c r="R60" s="11">
        <f t="shared" si="8"/>
        <v>230000</v>
      </c>
      <c r="S60" s="15">
        <f t="shared" si="9"/>
        <v>25760</v>
      </c>
    </row>
    <row r="61" ht="22.5" customHeight="1">
      <c r="A61" s="5" t="s">
        <v>179</v>
      </c>
      <c r="B61" s="8">
        <f t="shared" si="2"/>
        <v>8</v>
      </c>
      <c r="C61" s="6">
        <v>46109.0</v>
      </c>
      <c r="D61" s="5" t="s">
        <v>118</v>
      </c>
      <c r="E61" s="5" t="s">
        <v>90</v>
      </c>
      <c r="F61" s="7" t="s">
        <v>7</v>
      </c>
      <c r="G61" s="8">
        <v>12.0</v>
      </c>
      <c r="H61" s="8">
        <v>3800.0</v>
      </c>
      <c r="I61" s="8">
        <v>2500.0</v>
      </c>
      <c r="J61" s="10" t="str">
        <f t="shared" si="3"/>
        <v>Posadas</v>
      </c>
      <c r="K61" s="11">
        <f t="shared" si="4"/>
        <v>12</v>
      </c>
      <c r="L61" s="10" t="str">
        <f t="shared" ref="L61:M61" si="67">PROPER(E61)</f>
        <v>Ana Martinez</v>
      </c>
      <c r="M61" s="10" t="str">
        <f t="shared" si="67"/>
        <v>Yerba Mate Premium 1Kg</v>
      </c>
      <c r="N61" s="10" t="str">
        <f t="array" ref="N61">IFERROR(_xlfn.XLOOKUP(M61, Maestro_productos_15!$B:$B, Maestro_productos_15!$D:$D), "No encontrado")</f>
        <v>Cooperativa Neike</v>
      </c>
      <c r="O61" s="10" t="str">
        <f t="array" ref="O61">IFERROR(_xlfn.XLOOKUP(M61,Maestro_productos_15!$B:$B,Maestro_productos_15!$C:$C), "Sin Categoria")</f>
        <v>Alimentos</v>
      </c>
      <c r="P61" s="11">
        <f t="shared" si="6"/>
        <v>45600</v>
      </c>
      <c r="Q61" s="11">
        <f t="shared" si="7"/>
        <v>30000</v>
      </c>
      <c r="R61" s="11">
        <f t="shared" si="8"/>
        <v>15600</v>
      </c>
      <c r="S61" s="15">
        <f t="shared" si="9"/>
        <v>912</v>
      </c>
    </row>
    <row r="62" ht="22.5" customHeight="1">
      <c r="A62" s="5" t="s">
        <v>180</v>
      </c>
      <c r="B62" s="8">
        <f t="shared" si="2"/>
        <v>8</v>
      </c>
      <c r="C62" s="6">
        <v>46100.0</v>
      </c>
      <c r="D62" s="5" t="s">
        <v>118</v>
      </c>
      <c r="E62" s="5" t="s">
        <v>106</v>
      </c>
      <c r="F62" s="7" t="s">
        <v>29</v>
      </c>
      <c r="G62" s="8">
        <v>10.0</v>
      </c>
      <c r="H62" s="8">
        <v>9200.0</v>
      </c>
      <c r="I62" s="8">
        <v>5500.0</v>
      </c>
      <c r="J62" s="10" t="str">
        <f t="shared" si="3"/>
        <v>Posadas</v>
      </c>
      <c r="K62" s="11">
        <f t="shared" si="4"/>
        <v>10</v>
      </c>
      <c r="L62" s="10" t="str">
        <f t="shared" ref="L62:M62" si="68">PROPER(E62)</f>
        <v>Ana Martinez</v>
      </c>
      <c r="M62" s="10" t="str">
        <f t="shared" si="68"/>
        <v>Correa Reforzada Canina 3M</v>
      </c>
      <c r="N62" s="10" t="str">
        <f t="array" ref="N62">IFERROR(_xlfn.XLOOKUP(M62, Maestro_productos_15!$B:$B, Maestro_productos_15!$D:$D), "No encontrado")</f>
        <v>PetStyle Litoral</v>
      </c>
      <c r="O62" s="10" t="str">
        <f t="array" ref="O62">IFERROR(_xlfn.XLOOKUP(M62,Maestro_productos_15!$B:$B,Maestro_productos_15!$C:$C), "Sin Categoria")</f>
        <v>Mascotas</v>
      </c>
      <c r="P62" s="11">
        <f t="shared" si="6"/>
        <v>92000</v>
      </c>
      <c r="Q62" s="11">
        <f t="shared" si="7"/>
        <v>55000</v>
      </c>
      <c r="R62" s="11">
        <f t="shared" si="8"/>
        <v>37000</v>
      </c>
      <c r="S62" s="15">
        <f t="shared" si="9"/>
        <v>1840</v>
      </c>
    </row>
    <row r="63" ht="22.5" customHeight="1">
      <c r="A63" s="5" t="s">
        <v>181</v>
      </c>
      <c r="B63" s="8">
        <f t="shared" si="2"/>
        <v>8</v>
      </c>
      <c r="C63" s="6">
        <v>46081.0</v>
      </c>
      <c r="D63" s="5" t="s">
        <v>102</v>
      </c>
      <c r="E63" s="5" t="s">
        <v>127</v>
      </c>
      <c r="F63" s="7" t="s">
        <v>60</v>
      </c>
      <c r="G63" s="8">
        <v>14.0</v>
      </c>
      <c r="H63" s="8">
        <v>15000.0</v>
      </c>
      <c r="I63" s="8">
        <v>9500.0</v>
      </c>
      <c r="J63" s="10" t="str">
        <f t="shared" si="3"/>
        <v>Resistencia</v>
      </c>
      <c r="K63" s="11">
        <f t="shared" si="4"/>
        <v>14</v>
      </c>
      <c r="L63" s="10" t="str">
        <f t="shared" ref="L63:M63" si="69">PROPER(E63)</f>
        <v>Carlos Ruiz</v>
      </c>
      <c r="M63" s="10" t="str">
        <f t="shared" si="69"/>
        <v>Mouse Inalámbrico Ergonómico</v>
      </c>
      <c r="N63" s="10" t="str">
        <f t="array" ref="N63">IFERROR(_xlfn.XLOOKUP(M63, Maestro_productos_15!$B:$B, Maestro_productos_15!$D:$D), "No encontrado")</f>
        <v>TechImport S.R.L.</v>
      </c>
      <c r="O63" s="10" t="str">
        <f t="array" ref="O63">IFERROR(_xlfn.XLOOKUP(M63,Maestro_productos_15!$B:$B,Maestro_productos_15!$C:$C), "Sin Categoria")</f>
        <v>Tecnología</v>
      </c>
      <c r="P63" s="11">
        <f t="shared" si="6"/>
        <v>210000</v>
      </c>
      <c r="Q63" s="11">
        <f t="shared" si="7"/>
        <v>133000</v>
      </c>
      <c r="R63" s="11">
        <f t="shared" si="8"/>
        <v>77000</v>
      </c>
      <c r="S63" s="15">
        <f t="shared" si="9"/>
        <v>4200</v>
      </c>
    </row>
    <row r="64" ht="22.5" customHeight="1">
      <c r="A64" s="5" t="s">
        <v>182</v>
      </c>
      <c r="B64" s="8">
        <f t="shared" si="2"/>
        <v>8</v>
      </c>
      <c r="C64" s="6">
        <v>46075.0</v>
      </c>
      <c r="D64" s="5" t="s">
        <v>99</v>
      </c>
      <c r="E64" s="5" t="s">
        <v>127</v>
      </c>
      <c r="F64" s="7" t="s">
        <v>42</v>
      </c>
      <c r="G64" s="8">
        <v>18.0</v>
      </c>
      <c r="H64" s="8">
        <v>45000.0</v>
      </c>
      <c r="I64" s="8">
        <v>30000.0</v>
      </c>
      <c r="J64" s="10" t="str">
        <f t="shared" si="3"/>
        <v>Posadas</v>
      </c>
      <c r="K64" s="11">
        <f t="shared" si="4"/>
        <v>18</v>
      </c>
      <c r="L64" s="10" t="str">
        <f t="shared" ref="L64:M64" si="70">PROPER(E64)</f>
        <v>Carlos Ruiz</v>
      </c>
      <c r="M64" s="10" t="str">
        <f t="shared" si="70"/>
        <v>Teclado Mecánico Rgb</v>
      </c>
      <c r="N64" s="10" t="str">
        <f t="array" ref="N64">IFERROR(_xlfn.XLOOKUP(M64, Maestro_productos_15!$B:$B, Maestro_productos_15!$D:$D), "No encontrado")</f>
        <v>TechImport S.R.L.</v>
      </c>
      <c r="O64" s="10" t="str">
        <f t="array" ref="O64">IFERROR(_xlfn.XLOOKUP(M64,Maestro_productos_15!$B:$B,Maestro_productos_15!$C:$C), "Sin Categoria")</f>
        <v>Tecnología</v>
      </c>
      <c r="P64" s="11">
        <f t="shared" si="6"/>
        <v>810000</v>
      </c>
      <c r="Q64" s="11">
        <f t="shared" si="7"/>
        <v>540000</v>
      </c>
      <c r="R64" s="11">
        <f t="shared" si="8"/>
        <v>270000</v>
      </c>
      <c r="S64" s="15">
        <f t="shared" si="9"/>
        <v>32400</v>
      </c>
    </row>
    <row r="65" ht="22.5" customHeight="1">
      <c r="A65" s="5" t="s">
        <v>183</v>
      </c>
      <c r="B65" s="8">
        <f t="shared" si="2"/>
        <v>8</v>
      </c>
      <c r="C65" s="6">
        <v>46057.0</v>
      </c>
      <c r="D65" s="5" t="s">
        <v>99</v>
      </c>
      <c r="E65" s="5" t="s">
        <v>127</v>
      </c>
      <c r="F65" s="7" t="s">
        <v>46</v>
      </c>
      <c r="G65" s="8">
        <v>15.0</v>
      </c>
      <c r="H65" s="8">
        <v>18500.0</v>
      </c>
      <c r="I65" s="8">
        <v>12500.0</v>
      </c>
      <c r="J65" s="10" t="str">
        <f t="shared" si="3"/>
        <v>Posadas</v>
      </c>
      <c r="K65" s="11">
        <f t="shared" si="4"/>
        <v>15</v>
      </c>
      <c r="L65" s="10" t="str">
        <f t="shared" ref="L65:M65" si="71">PROPER(E65)</f>
        <v>Carlos Ruiz</v>
      </c>
      <c r="M65" s="10" t="str">
        <f t="shared" si="71"/>
        <v>Café En Grano Intenso 1Kg</v>
      </c>
      <c r="N65" s="10" t="str">
        <f t="array" ref="N65">IFERROR(_xlfn.XLOOKUP(M65, Maestro_productos_15!$B:$B, Maestro_productos_15!$D:$D), "No encontrado")</f>
        <v>Distribuidora del Nordeste</v>
      </c>
      <c r="O65" s="10" t="str">
        <f t="array" ref="O65">IFERROR(_xlfn.XLOOKUP(M65,Maestro_productos_15!$B:$B,Maestro_productos_15!$C:$C), "Sin Categoria")</f>
        <v>Alimentos</v>
      </c>
      <c r="P65" s="11">
        <f t="shared" si="6"/>
        <v>277500</v>
      </c>
      <c r="Q65" s="11">
        <f t="shared" si="7"/>
        <v>187500</v>
      </c>
      <c r="R65" s="11">
        <f t="shared" si="8"/>
        <v>90000</v>
      </c>
      <c r="S65" s="15">
        <f t="shared" si="9"/>
        <v>5550</v>
      </c>
    </row>
    <row r="66" ht="22.5" customHeight="1">
      <c r="A66" s="5" t="s">
        <v>184</v>
      </c>
      <c r="B66" s="8">
        <f t="shared" si="2"/>
        <v>8</v>
      </c>
      <c r="C66" s="6">
        <v>46081.0</v>
      </c>
      <c r="D66" s="5" t="s">
        <v>103</v>
      </c>
      <c r="E66" s="5" t="s">
        <v>90</v>
      </c>
      <c r="F66" s="7" t="s">
        <v>56</v>
      </c>
      <c r="G66" s="8">
        <v>3.0</v>
      </c>
      <c r="H66" s="8">
        <v>32000.0</v>
      </c>
      <c r="I66" s="8">
        <v>21000.0</v>
      </c>
      <c r="J66" s="10" t="str">
        <f t="shared" si="3"/>
        <v>Formosa</v>
      </c>
      <c r="K66" s="11">
        <f t="shared" si="4"/>
        <v>3</v>
      </c>
      <c r="L66" s="10" t="str">
        <f t="shared" ref="L66:M66" si="72">PROPER(E66)</f>
        <v>Ana Martinez</v>
      </c>
      <c r="M66" s="10" t="str">
        <f t="shared" si="72"/>
        <v>Termo Acero Inoxidable 1.3L</v>
      </c>
      <c r="N66" s="10" t="str">
        <f t="array" ref="N66">IFERROR(_xlfn.XLOOKUP(M66, Maestro_productos_15!$B:$B, Maestro_productos_15!$D:$D), "No encontrado")</f>
        <v>Distribuidora del Nordeste</v>
      </c>
      <c r="O66" s="10" t="str">
        <f t="array" ref="O66">IFERROR(_xlfn.XLOOKUP(M66,Maestro_productos_15!$B:$B,Maestro_productos_15!$C:$C), "Sin Categoria")</f>
        <v>Bazar</v>
      </c>
      <c r="P66" s="11">
        <f t="shared" si="6"/>
        <v>96000</v>
      </c>
      <c r="Q66" s="11">
        <f t="shared" si="7"/>
        <v>63000</v>
      </c>
      <c r="R66" s="11">
        <f t="shared" si="8"/>
        <v>33000</v>
      </c>
      <c r="S66" s="15">
        <f t="shared" si="9"/>
        <v>3840</v>
      </c>
    </row>
    <row r="67" ht="22.5" customHeight="1">
      <c r="A67" s="5" t="s">
        <v>185</v>
      </c>
      <c r="B67" s="8">
        <f t="shared" si="2"/>
        <v>8</v>
      </c>
      <c r="C67" s="6">
        <v>46109.0</v>
      </c>
      <c r="D67" s="5" t="s">
        <v>103</v>
      </c>
      <c r="E67" s="5" t="s">
        <v>106</v>
      </c>
      <c r="F67" s="7" t="s">
        <v>64</v>
      </c>
      <c r="G67" s="8">
        <v>10.0</v>
      </c>
      <c r="H67" s="8">
        <v>6200.0</v>
      </c>
      <c r="I67" s="8">
        <v>3800.0</v>
      </c>
      <c r="J67" s="10" t="str">
        <f t="shared" si="3"/>
        <v>Formosa</v>
      </c>
      <c r="K67" s="11">
        <f t="shared" si="4"/>
        <v>10</v>
      </c>
      <c r="L67" s="10" t="str">
        <f t="shared" ref="L67:M67" si="73">PROPER(E67)</f>
        <v>Ana Martinez</v>
      </c>
      <c r="M67" s="10" t="str">
        <f t="shared" si="73"/>
        <v>Shampoo Canino Neutro 500Ml</v>
      </c>
      <c r="N67" s="10" t="str">
        <f t="array" ref="N67">IFERROR(_xlfn.XLOOKUP(M67, Maestro_productos_15!$B:$B, Maestro_productos_15!$D:$D), "No encontrado")</f>
        <v>PetStyle Litoral</v>
      </c>
      <c r="O67" s="10" t="str">
        <f t="array" ref="O67">IFERROR(_xlfn.XLOOKUP(M67,Maestro_productos_15!$B:$B,Maestro_productos_15!$C:$C), "Sin Categoria")</f>
        <v>Mascotas</v>
      </c>
      <c r="P67" s="11">
        <f t="shared" si="6"/>
        <v>62000</v>
      </c>
      <c r="Q67" s="11">
        <f t="shared" si="7"/>
        <v>38000</v>
      </c>
      <c r="R67" s="11">
        <f t="shared" si="8"/>
        <v>24000</v>
      </c>
      <c r="S67" s="15">
        <f t="shared" si="9"/>
        <v>1240</v>
      </c>
    </row>
    <row r="68" ht="22.5" customHeight="1">
      <c r="A68" s="5" t="s">
        <v>186</v>
      </c>
      <c r="B68" s="8">
        <f t="shared" si="2"/>
        <v>8</v>
      </c>
      <c r="C68" s="6">
        <v>46085.0</v>
      </c>
      <c r="D68" s="5" t="s">
        <v>133</v>
      </c>
      <c r="E68" s="5" t="s">
        <v>127</v>
      </c>
      <c r="F68" s="7" t="s">
        <v>25</v>
      </c>
      <c r="G68" s="8">
        <v>3.0</v>
      </c>
      <c r="H68" s="8">
        <v>19500.0</v>
      </c>
      <c r="I68" s="8">
        <v>12000.0</v>
      </c>
      <c r="J68" s="10" t="str">
        <f t="shared" si="3"/>
        <v>Resistencia</v>
      </c>
      <c r="K68" s="11">
        <f t="shared" si="4"/>
        <v>3</v>
      </c>
      <c r="L68" s="10" t="str">
        <f t="shared" ref="L68:M68" si="74">PROPER(E68)</f>
        <v>Carlos Ruiz</v>
      </c>
      <c r="M68" s="10" t="str">
        <f t="shared" si="74"/>
        <v>Soporte Regulable Notebook</v>
      </c>
      <c r="N68" s="10" t="str">
        <f t="array" ref="N68">IFERROR(_xlfn.XLOOKUP(M68, Maestro_productos_15!$B:$B, Maestro_productos_15!$D:$D), "No encontrado")</f>
        <v>TechImport S.R.L.</v>
      </c>
      <c r="O68" s="10" t="str">
        <f t="array" ref="O68">IFERROR(_xlfn.XLOOKUP(M68,Maestro_productos_15!$B:$B,Maestro_productos_15!$C:$C), "Sin Categoria")</f>
        <v>Tecnología</v>
      </c>
      <c r="P68" s="11">
        <f t="shared" si="6"/>
        <v>58500</v>
      </c>
      <c r="Q68" s="11">
        <f t="shared" si="7"/>
        <v>36000</v>
      </c>
      <c r="R68" s="11">
        <f t="shared" si="8"/>
        <v>22500</v>
      </c>
      <c r="S68" s="15">
        <f t="shared" si="9"/>
        <v>1170</v>
      </c>
    </row>
    <row r="69" ht="22.5" customHeight="1">
      <c r="A69" s="5" t="s">
        <v>187</v>
      </c>
      <c r="B69" s="8">
        <f t="shared" si="2"/>
        <v>8</v>
      </c>
      <c r="C69" s="6">
        <v>46023.0</v>
      </c>
      <c r="D69" s="5" t="s">
        <v>118</v>
      </c>
      <c r="E69" s="5" t="s">
        <v>141</v>
      </c>
      <c r="F69" s="7" t="s">
        <v>156</v>
      </c>
      <c r="G69" s="8">
        <v>8.0</v>
      </c>
      <c r="H69" s="8">
        <v>6200.0</v>
      </c>
      <c r="I69" s="8">
        <v>3800.0</v>
      </c>
      <c r="J69" s="10" t="str">
        <f t="shared" si="3"/>
        <v>Posadas</v>
      </c>
      <c r="K69" s="11">
        <f t="shared" si="4"/>
        <v>8</v>
      </c>
      <c r="L69" s="10" t="str">
        <f t="shared" ref="L69:M69" si="75">PROPER(E69)</f>
        <v>Carlos Ruiz</v>
      </c>
      <c r="M69" s="10" t="str">
        <f t="shared" si="75"/>
        <v>Shampoo Canino Neutro 500Ml</v>
      </c>
      <c r="N69" s="10" t="str">
        <f t="array" ref="N69">IFERROR(_xlfn.XLOOKUP(M69, Maestro_productos_15!$B:$B, Maestro_productos_15!$D:$D), "No encontrado")</f>
        <v>PetStyle Litoral</v>
      </c>
      <c r="O69" s="10" t="str">
        <f t="array" ref="O69">IFERROR(_xlfn.XLOOKUP(M69,Maestro_productos_15!$B:$B,Maestro_productos_15!$C:$C), "Sin Categoria")</f>
        <v>Mascotas</v>
      </c>
      <c r="P69" s="11">
        <f t="shared" si="6"/>
        <v>49600</v>
      </c>
      <c r="Q69" s="11">
        <f t="shared" si="7"/>
        <v>30400</v>
      </c>
      <c r="R69" s="11">
        <f t="shared" si="8"/>
        <v>19200</v>
      </c>
      <c r="S69" s="15">
        <f t="shared" si="9"/>
        <v>992</v>
      </c>
    </row>
    <row r="70" ht="22.5" customHeight="1">
      <c r="A70" s="5" t="s">
        <v>188</v>
      </c>
      <c r="B70" s="8">
        <f t="shared" si="2"/>
        <v>8</v>
      </c>
      <c r="C70" s="6">
        <v>46084.0</v>
      </c>
      <c r="D70" s="5" t="s">
        <v>103</v>
      </c>
      <c r="E70" s="5" t="s">
        <v>106</v>
      </c>
      <c r="F70" s="7" t="s">
        <v>60</v>
      </c>
      <c r="G70" s="8">
        <v>4.0</v>
      </c>
      <c r="H70" s="8">
        <v>15000.0</v>
      </c>
      <c r="I70" s="8">
        <v>9500.0</v>
      </c>
      <c r="J70" s="10" t="str">
        <f t="shared" si="3"/>
        <v>Formosa</v>
      </c>
      <c r="K70" s="11">
        <f t="shared" si="4"/>
        <v>4</v>
      </c>
      <c r="L70" s="10" t="str">
        <f t="shared" ref="L70:M70" si="76">PROPER(E70)</f>
        <v>Ana Martinez</v>
      </c>
      <c r="M70" s="10" t="str">
        <f t="shared" si="76"/>
        <v>Mouse Inalámbrico Ergonómico</v>
      </c>
      <c r="N70" s="10" t="str">
        <f t="array" ref="N70">IFERROR(_xlfn.XLOOKUP(M70, Maestro_productos_15!$B:$B, Maestro_productos_15!$D:$D), "No encontrado")</f>
        <v>TechImport S.R.L.</v>
      </c>
      <c r="O70" s="10" t="str">
        <f t="array" ref="O70">IFERROR(_xlfn.XLOOKUP(M70,Maestro_productos_15!$B:$B,Maestro_productos_15!$C:$C), "Sin Categoria")</f>
        <v>Tecnología</v>
      </c>
      <c r="P70" s="11">
        <f t="shared" si="6"/>
        <v>60000</v>
      </c>
      <c r="Q70" s="11">
        <f t="shared" si="7"/>
        <v>38000</v>
      </c>
      <c r="R70" s="11">
        <f t="shared" si="8"/>
        <v>22000</v>
      </c>
      <c r="S70" s="15">
        <f t="shared" si="9"/>
        <v>1200</v>
      </c>
    </row>
    <row r="71" ht="22.5" customHeight="1">
      <c r="A71" s="5" t="s">
        <v>189</v>
      </c>
      <c r="B71" s="8">
        <f t="shared" si="2"/>
        <v>8</v>
      </c>
      <c r="C71" s="6">
        <v>46106.0</v>
      </c>
      <c r="D71" s="5" t="s">
        <v>88</v>
      </c>
      <c r="E71" s="5" t="s">
        <v>127</v>
      </c>
      <c r="F71" s="7" t="s">
        <v>13</v>
      </c>
      <c r="G71" s="8">
        <v>4.0</v>
      </c>
      <c r="H71" s="8">
        <v>35000.0</v>
      </c>
      <c r="I71" s="8">
        <v>24000.0</v>
      </c>
      <c r="J71" s="10" t="str">
        <f t="shared" si="3"/>
        <v>Corrientes</v>
      </c>
      <c r="K71" s="11">
        <f t="shared" si="4"/>
        <v>4</v>
      </c>
      <c r="L71" s="10" t="str">
        <f t="shared" ref="L71:M71" si="77">PROPER(E71)</f>
        <v>Carlos Ruiz</v>
      </c>
      <c r="M71" s="10" t="str">
        <f t="shared" si="77"/>
        <v>Alimento Perro Adulto 15Kg</v>
      </c>
      <c r="N71" s="10" t="str">
        <f t="array" ref="N71">IFERROR(_xlfn.XLOOKUP(M71, Maestro_productos_15!$B:$B, Maestro_productos_15!$D:$D), "No encontrado")</f>
        <v>NutriDog Arg</v>
      </c>
      <c r="O71" s="10" t="str">
        <f t="array" ref="O71">IFERROR(_xlfn.XLOOKUP(M71,Maestro_productos_15!$B:$B,Maestro_productos_15!$C:$C), "Sin Categoria")</f>
        <v>Mascotas</v>
      </c>
      <c r="P71" s="11">
        <f t="shared" si="6"/>
        <v>140000</v>
      </c>
      <c r="Q71" s="11">
        <f t="shared" si="7"/>
        <v>96000</v>
      </c>
      <c r="R71" s="11">
        <f t="shared" si="8"/>
        <v>44000</v>
      </c>
      <c r="S71" s="15">
        <f t="shared" si="9"/>
        <v>8400</v>
      </c>
    </row>
    <row r="72" ht="22.5" customHeight="1">
      <c r="A72" s="5" t="s">
        <v>190</v>
      </c>
      <c r="B72" s="8">
        <f t="shared" si="2"/>
        <v>8</v>
      </c>
      <c r="C72" s="6">
        <v>46031.0</v>
      </c>
      <c r="D72" s="5" t="s">
        <v>99</v>
      </c>
      <c r="E72" s="5" t="s">
        <v>127</v>
      </c>
      <c r="F72" s="7" t="s">
        <v>60</v>
      </c>
      <c r="G72" s="8">
        <v>25.0</v>
      </c>
      <c r="H72" s="8">
        <v>15000.0</v>
      </c>
      <c r="I72" s="8">
        <v>9500.0</v>
      </c>
      <c r="J72" s="10" t="str">
        <f t="shared" si="3"/>
        <v>Posadas</v>
      </c>
      <c r="K72" s="11">
        <f t="shared" si="4"/>
        <v>25</v>
      </c>
      <c r="L72" s="10" t="str">
        <f t="shared" ref="L72:M72" si="78">PROPER(E72)</f>
        <v>Carlos Ruiz</v>
      </c>
      <c r="M72" s="10" t="str">
        <f t="shared" si="78"/>
        <v>Mouse Inalámbrico Ergonómico</v>
      </c>
      <c r="N72" s="10" t="str">
        <f t="array" ref="N72">IFERROR(_xlfn.XLOOKUP(M72, Maestro_productos_15!$B:$B, Maestro_productos_15!$D:$D), "No encontrado")</f>
        <v>TechImport S.R.L.</v>
      </c>
      <c r="O72" s="10" t="str">
        <f t="array" ref="O72">IFERROR(_xlfn.XLOOKUP(M72,Maestro_productos_15!$B:$B,Maestro_productos_15!$C:$C), "Sin Categoria")</f>
        <v>Tecnología</v>
      </c>
      <c r="P72" s="11">
        <f t="shared" si="6"/>
        <v>375000</v>
      </c>
      <c r="Q72" s="11">
        <f t="shared" si="7"/>
        <v>237500</v>
      </c>
      <c r="R72" s="11">
        <f t="shared" si="8"/>
        <v>137500</v>
      </c>
      <c r="S72" s="15">
        <f t="shared" si="9"/>
        <v>7500</v>
      </c>
    </row>
    <row r="73" ht="22.5" customHeight="1">
      <c r="A73" s="5" t="s">
        <v>191</v>
      </c>
      <c r="B73" s="8">
        <f t="shared" si="2"/>
        <v>8</v>
      </c>
      <c r="C73" s="6">
        <v>46056.0</v>
      </c>
      <c r="D73" s="5" t="s">
        <v>133</v>
      </c>
      <c r="E73" s="5" t="s">
        <v>106</v>
      </c>
      <c r="F73" s="7" t="s">
        <v>34</v>
      </c>
      <c r="G73" s="8">
        <v>15.0</v>
      </c>
      <c r="H73" s="8">
        <v>4800.0</v>
      </c>
      <c r="I73" s="8">
        <v>2700.0</v>
      </c>
      <c r="J73" s="10" t="str">
        <f t="shared" si="3"/>
        <v>Resistencia</v>
      </c>
      <c r="K73" s="11">
        <f t="shared" si="4"/>
        <v>15</v>
      </c>
      <c r="L73" s="10" t="str">
        <f t="shared" ref="L73:M73" si="79">PROPER(E73)</f>
        <v>Ana Martinez</v>
      </c>
      <c r="M73" s="10" t="str">
        <f t="shared" si="79"/>
        <v>Juguete Mordillo Goma</v>
      </c>
      <c r="N73" s="10" t="str">
        <f t="array" ref="N73">IFERROR(_xlfn.XLOOKUP(M73, Maestro_productos_15!$B:$B, Maestro_productos_15!$D:$D), "No encontrado")</f>
        <v>PetStyle Litoral</v>
      </c>
      <c r="O73" s="10" t="str">
        <f t="array" ref="O73">IFERROR(_xlfn.XLOOKUP(M73,Maestro_productos_15!$B:$B,Maestro_productos_15!$C:$C), "Sin Categoria")</f>
        <v>Mascotas</v>
      </c>
      <c r="P73" s="11">
        <f t="shared" si="6"/>
        <v>72000</v>
      </c>
      <c r="Q73" s="11">
        <f t="shared" si="7"/>
        <v>40500</v>
      </c>
      <c r="R73" s="11">
        <f t="shared" si="8"/>
        <v>31500</v>
      </c>
      <c r="S73" s="15">
        <f t="shared" si="9"/>
        <v>1440</v>
      </c>
    </row>
    <row r="74" ht="22.5" customHeight="1">
      <c r="A74" s="5" t="s">
        <v>192</v>
      </c>
      <c r="B74" s="8">
        <f t="shared" si="2"/>
        <v>8</v>
      </c>
      <c r="C74" s="6">
        <v>46050.0</v>
      </c>
      <c r="D74" s="5" t="s">
        <v>103</v>
      </c>
      <c r="E74" s="5" t="s">
        <v>115</v>
      </c>
      <c r="F74" s="7" t="s">
        <v>7</v>
      </c>
      <c r="G74" s="8">
        <v>9.0</v>
      </c>
      <c r="H74" s="8">
        <v>3800.0</v>
      </c>
      <c r="I74" s="8">
        <v>2500.0</v>
      </c>
      <c r="J74" s="10" t="str">
        <f t="shared" si="3"/>
        <v>Formosa</v>
      </c>
      <c r="K74" s="11">
        <f t="shared" si="4"/>
        <v>9</v>
      </c>
      <c r="L74" s="10" t="str">
        <f t="shared" ref="L74:M74" si="80">PROPER(E74)</f>
        <v>Juan Perez</v>
      </c>
      <c r="M74" s="10" t="str">
        <f t="shared" si="80"/>
        <v>Yerba Mate Premium 1Kg</v>
      </c>
      <c r="N74" s="10" t="str">
        <f t="array" ref="N74">IFERROR(_xlfn.XLOOKUP(M74, Maestro_productos_15!$B:$B, Maestro_productos_15!$D:$D), "No encontrado")</f>
        <v>Cooperativa Neike</v>
      </c>
      <c r="O74" s="10" t="str">
        <f t="array" ref="O74">IFERROR(_xlfn.XLOOKUP(M74,Maestro_productos_15!$B:$B,Maestro_productos_15!$C:$C), "Sin Categoria")</f>
        <v>Alimentos</v>
      </c>
      <c r="P74" s="11">
        <f t="shared" si="6"/>
        <v>34200</v>
      </c>
      <c r="Q74" s="11">
        <f t="shared" si="7"/>
        <v>22500</v>
      </c>
      <c r="R74" s="11">
        <f t="shared" si="8"/>
        <v>11700</v>
      </c>
      <c r="S74" s="15">
        <f t="shared" si="9"/>
        <v>684</v>
      </c>
    </row>
    <row r="75" ht="22.5" customHeight="1">
      <c r="A75" s="5" t="s">
        <v>193</v>
      </c>
      <c r="B75" s="8">
        <f t="shared" si="2"/>
        <v>8</v>
      </c>
      <c r="C75" s="6">
        <v>46036.0</v>
      </c>
      <c r="D75" s="5" t="s">
        <v>133</v>
      </c>
      <c r="E75" s="5" t="s">
        <v>100</v>
      </c>
      <c r="F75" s="7" t="s">
        <v>38</v>
      </c>
      <c r="G75" s="8">
        <v>8.0</v>
      </c>
      <c r="H75" s="8">
        <v>29500.0</v>
      </c>
      <c r="I75" s="8">
        <v>20000.0</v>
      </c>
      <c r="J75" s="10" t="str">
        <f t="shared" si="3"/>
        <v>Resistencia</v>
      </c>
      <c r="K75" s="11">
        <f t="shared" si="4"/>
        <v>8</v>
      </c>
      <c r="L75" s="10" t="str">
        <f t="shared" ref="L75:M75" si="81">PROPER(E75)</f>
        <v>Juan Perez</v>
      </c>
      <c r="M75" s="10" t="str">
        <f t="shared" si="81"/>
        <v>Alimento Gato Castrado 10Kg</v>
      </c>
      <c r="N75" s="10" t="str">
        <f t="array" ref="N75">IFERROR(_xlfn.XLOOKUP(M75, Maestro_productos_15!$B:$B, Maestro_productos_15!$D:$D), "No encontrado")</f>
        <v>NutriDog Arg</v>
      </c>
      <c r="O75" s="10" t="str">
        <f t="array" ref="O75">IFERROR(_xlfn.XLOOKUP(M75,Maestro_productos_15!$B:$B,Maestro_productos_15!$C:$C), "Sin Categoria")</f>
        <v>Mascotas</v>
      </c>
      <c r="P75" s="11">
        <f t="shared" si="6"/>
        <v>236000</v>
      </c>
      <c r="Q75" s="11">
        <f t="shared" si="7"/>
        <v>160000</v>
      </c>
      <c r="R75" s="11">
        <f t="shared" si="8"/>
        <v>76000</v>
      </c>
      <c r="S75" s="15">
        <f t="shared" si="9"/>
        <v>9440</v>
      </c>
    </row>
    <row r="76" ht="22.5" customHeight="1">
      <c r="A76" s="5" t="s">
        <v>194</v>
      </c>
      <c r="B76" s="8">
        <f t="shared" si="2"/>
        <v>8</v>
      </c>
      <c r="C76" s="6">
        <v>46023.0</v>
      </c>
      <c r="D76" s="5" t="s">
        <v>108</v>
      </c>
      <c r="E76" s="5" t="s">
        <v>115</v>
      </c>
      <c r="F76" s="7" t="s">
        <v>25</v>
      </c>
      <c r="G76" s="8">
        <v>5.0</v>
      </c>
      <c r="H76" s="8">
        <v>19500.0</v>
      </c>
      <c r="I76" s="8">
        <v>12000.0</v>
      </c>
      <c r="J76" s="10" t="str">
        <f t="shared" si="3"/>
        <v>Corrientes</v>
      </c>
      <c r="K76" s="11">
        <f t="shared" si="4"/>
        <v>5</v>
      </c>
      <c r="L76" s="10" t="str">
        <f t="shared" ref="L76:M76" si="82">PROPER(E76)</f>
        <v>Juan Perez</v>
      </c>
      <c r="M76" s="10" t="str">
        <f t="shared" si="82"/>
        <v>Soporte Regulable Notebook</v>
      </c>
      <c r="N76" s="10" t="str">
        <f t="array" ref="N76">IFERROR(_xlfn.XLOOKUP(M76, Maestro_productos_15!$B:$B, Maestro_productos_15!$D:$D), "No encontrado")</f>
        <v>TechImport S.R.L.</v>
      </c>
      <c r="O76" s="10" t="str">
        <f t="array" ref="O76">IFERROR(_xlfn.XLOOKUP(M76,Maestro_productos_15!$B:$B,Maestro_productos_15!$C:$C), "Sin Categoria")</f>
        <v>Tecnología</v>
      </c>
      <c r="P76" s="11">
        <f t="shared" si="6"/>
        <v>97500</v>
      </c>
      <c r="Q76" s="11">
        <f t="shared" si="7"/>
        <v>60000</v>
      </c>
      <c r="R76" s="11">
        <f t="shared" si="8"/>
        <v>37500</v>
      </c>
      <c r="S76" s="15">
        <f t="shared" si="9"/>
        <v>1950</v>
      </c>
    </row>
    <row r="77" ht="22.5" customHeight="1">
      <c r="A77" s="5" t="s">
        <v>195</v>
      </c>
      <c r="B77" s="8">
        <f t="shared" si="2"/>
        <v>8</v>
      </c>
      <c r="C77" s="6">
        <v>46084.0</v>
      </c>
      <c r="D77" s="5" t="s">
        <v>133</v>
      </c>
      <c r="E77" s="5" t="s">
        <v>141</v>
      </c>
      <c r="F77" s="7" t="s">
        <v>13</v>
      </c>
      <c r="G77" s="8">
        <v>14.0</v>
      </c>
      <c r="H77" s="8">
        <v>35000.0</v>
      </c>
      <c r="I77" s="8">
        <v>24000.0</v>
      </c>
      <c r="J77" s="10" t="str">
        <f t="shared" si="3"/>
        <v>Resistencia</v>
      </c>
      <c r="K77" s="11">
        <f t="shared" si="4"/>
        <v>14</v>
      </c>
      <c r="L77" s="10" t="str">
        <f t="shared" ref="L77:M77" si="83">PROPER(E77)</f>
        <v>Carlos Ruiz</v>
      </c>
      <c r="M77" s="10" t="str">
        <f t="shared" si="83"/>
        <v>Alimento Perro Adulto 15Kg</v>
      </c>
      <c r="N77" s="10" t="str">
        <f t="array" ref="N77">IFERROR(_xlfn.XLOOKUP(M77, Maestro_productos_15!$B:$B, Maestro_productos_15!$D:$D), "No encontrado")</f>
        <v>NutriDog Arg</v>
      </c>
      <c r="O77" s="10" t="str">
        <f t="array" ref="O77">IFERROR(_xlfn.XLOOKUP(M77,Maestro_productos_15!$B:$B,Maestro_productos_15!$C:$C), "Sin Categoria")</f>
        <v>Mascotas</v>
      </c>
      <c r="P77" s="11">
        <f t="shared" si="6"/>
        <v>490000</v>
      </c>
      <c r="Q77" s="11">
        <f t="shared" si="7"/>
        <v>336000</v>
      </c>
      <c r="R77" s="11">
        <f t="shared" si="8"/>
        <v>154000</v>
      </c>
      <c r="S77" s="15">
        <f t="shared" si="9"/>
        <v>19600</v>
      </c>
    </row>
    <row r="78" ht="22.5" customHeight="1">
      <c r="A78" s="5" t="s">
        <v>196</v>
      </c>
      <c r="B78" s="8">
        <f t="shared" si="2"/>
        <v>8</v>
      </c>
      <c r="C78" s="6">
        <v>46087.0</v>
      </c>
      <c r="D78" s="5" t="s">
        <v>103</v>
      </c>
      <c r="E78" s="5" t="s">
        <v>127</v>
      </c>
      <c r="F78" s="7" t="s">
        <v>56</v>
      </c>
      <c r="G78" s="8">
        <v>1.0</v>
      </c>
      <c r="H78" s="8">
        <v>32000.0</v>
      </c>
      <c r="I78" s="8">
        <v>21000.0</v>
      </c>
      <c r="J78" s="10" t="str">
        <f t="shared" si="3"/>
        <v>Formosa</v>
      </c>
      <c r="K78" s="11">
        <f t="shared" si="4"/>
        <v>1</v>
      </c>
      <c r="L78" s="10" t="str">
        <f t="shared" ref="L78:M78" si="84">PROPER(E78)</f>
        <v>Carlos Ruiz</v>
      </c>
      <c r="M78" s="10" t="str">
        <f t="shared" si="84"/>
        <v>Termo Acero Inoxidable 1.3L</v>
      </c>
      <c r="N78" s="10" t="str">
        <f t="array" ref="N78">IFERROR(_xlfn.XLOOKUP(M78, Maestro_productos_15!$B:$B, Maestro_productos_15!$D:$D), "No encontrado")</f>
        <v>Distribuidora del Nordeste</v>
      </c>
      <c r="O78" s="10" t="str">
        <f t="array" ref="O78">IFERROR(_xlfn.XLOOKUP(M78,Maestro_productos_15!$B:$B,Maestro_productos_15!$C:$C), "Sin Categoria")</f>
        <v>Bazar</v>
      </c>
      <c r="P78" s="11">
        <f t="shared" si="6"/>
        <v>32000</v>
      </c>
      <c r="Q78" s="11">
        <f t="shared" si="7"/>
        <v>21000</v>
      </c>
      <c r="R78" s="11">
        <f t="shared" si="8"/>
        <v>11000</v>
      </c>
      <c r="S78" s="15">
        <f t="shared" si="9"/>
        <v>1280</v>
      </c>
    </row>
    <row r="79" ht="22.5" customHeight="1">
      <c r="A79" s="5" t="s">
        <v>197</v>
      </c>
      <c r="B79" s="8">
        <f t="shared" si="2"/>
        <v>8</v>
      </c>
      <c r="C79" s="6">
        <v>46082.0</v>
      </c>
      <c r="D79" s="5" t="s">
        <v>103</v>
      </c>
      <c r="E79" s="5" t="s">
        <v>141</v>
      </c>
      <c r="F79" s="7" t="s">
        <v>46</v>
      </c>
      <c r="G79" s="8">
        <v>24.0</v>
      </c>
      <c r="H79" s="8">
        <v>18500.0</v>
      </c>
      <c r="I79" s="8">
        <v>12500.0</v>
      </c>
      <c r="J79" s="10" t="str">
        <f t="shared" si="3"/>
        <v>Formosa</v>
      </c>
      <c r="K79" s="11">
        <f t="shared" si="4"/>
        <v>24</v>
      </c>
      <c r="L79" s="10" t="str">
        <f t="shared" ref="L79:M79" si="85">PROPER(E79)</f>
        <v>Carlos Ruiz</v>
      </c>
      <c r="M79" s="10" t="str">
        <f t="shared" si="85"/>
        <v>Café En Grano Intenso 1Kg</v>
      </c>
      <c r="N79" s="10" t="str">
        <f t="array" ref="N79">IFERROR(_xlfn.XLOOKUP(M79, Maestro_productos_15!$B:$B, Maestro_productos_15!$D:$D), "No encontrado")</f>
        <v>Distribuidora del Nordeste</v>
      </c>
      <c r="O79" s="10" t="str">
        <f t="array" ref="O79">IFERROR(_xlfn.XLOOKUP(M79,Maestro_productos_15!$B:$B,Maestro_productos_15!$C:$C), "Sin Categoria")</f>
        <v>Alimentos</v>
      </c>
      <c r="P79" s="11">
        <f t="shared" si="6"/>
        <v>444000</v>
      </c>
      <c r="Q79" s="11">
        <f t="shared" si="7"/>
        <v>300000</v>
      </c>
      <c r="R79" s="11">
        <f t="shared" si="8"/>
        <v>144000</v>
      </c>
      <c r="S79" s="15">
        <f t="shared" si="9"/>
        <v>8880</v>
      </c>
    </row>
    <row r="80" ht="22.5" customHeight="1">
      <c r="A80" s="5" t="s">
        <v>198</v>
      </c>
      <c r="B80" s="8">
        <f t="shared" si="2"/>
        <v>8</v>
      </c>
      <c r="C80" s="6">
        <v>46110.0</v>
      </c>
      <c r="D80" s="5" t="s">
        <v>102</v>
      </c>
      <c r="E80" s="5" t="s">
        <v>141</v>
      </c>
      <c r="F80" s="7" t="s">
        <v>64</v>
      </c>
      <c r="G80" s="8">
        <v>13.0</v>
      </c>
      <c r="H80" s="8">
        <v>6200.0</v>
      </c>
      <c r="I80" s="8">
        <v>3800.0</v>
      </c>
      <c r="J80" s="10" t="str">
        <f t="shared" si="3"/>
        <v>Resistencia</v>
      </c>
      <c r="K80" s="11">
        <f t="shared" si="4"/>
        <v>13</v>
      </c>
      <c r="L80" s="10" t="str">
        <f t="shared" ref="L80:M80" si="86">PROPER(E80)</f>
        <v>Carlos Ruiz</v>
      </c>
      <c r="M80" s="10" t="str">
        <f t="shared" si="86"/>
        <v>Shampoo Canino Neutro 500Ml</v>
      </c>
      <c r="N80" s="10" t="str">
        <f t="array" ref="N80">IFERROR(_xlfn.XLOOKUP(M80, Maestro_productos_15!$B:$B, Maestro_productos_15!$D:$D), "No encontrado")</f>
        <v>PetStyle Litoral</v>
      </c>
      <c r="O80" s="10" t="str">
        <f t="array" ref="O80">IFERROR(_xlfn.XLOOKUP(M80,Maestro_productos_15!$B:$B,Maestro_productos_15!$C:$C), "Sin Categoria")</f>
        <v>Mascotas</v>
      </c>
      <c r="P80" s="11">
        <f t="shared" si="6"/>
        <v>80600</v>
      </c>
      <c r="Q80" s="11">
        <f t="shared" si="7"/>
        <v>49400</v>
      </c>
      <c r="R80" s="11">
        <f t="shared" si="8"/>
        <v>31200</v>
      </c>
      <c r="S80" s="15">
        <f t="shared" si="9"/>
        <v>1612</v>
      </c>
    </row>
    <row r="81" ht="22.5" customHeight="1">
      <c r="A81" s="5" t="s">
        <v>199</v>
      </c>
      <c r="B81" s="8">
        <f t="shared" si="2"/>
        <v>8</v>
      </c>
      <c r="C81" s="6">
        <v>46037.0</v>
      </c>
      <c r="D81" s="5" t="s">
        <v>103</v>
      </c>
      <c r="E81" s="5" t="s">
        <v>141</v>
      </c>
      <c r="F81" s="7" t="s">
        <v>67</v>
      </c>
      <c r="G81" s="8">
        <v>20.0</v>
      </c>
      <c r="H81" s="8">
        <v>3100.0</v>
      </c>
      <c r="I81" s="8">
        <v>1800.0</v>
      </c>
      <c r="J81" s="10" t="str">
        <f t="shared" si="3"/>
        <v>Formosa</v>
      </c>
      <c r="K81" s="11">
        <f t="shared" si="4"/>
        <v>20</v>
      </c>
      <c r="L81" s="10" t="str">
        <f t="shared" ref="L81:M81" si="87">PROPER(E81)</f>
        <v>Carlos Ruiz</v>
      </c>
      <c r="M81" s="10" t="str">
        <f t="shared" si="87"/>
        <v>Snack Premios Perro 250G</v>
      </c>
      <c r="N81" s="10" t="str">
        <f t="array" ref="N81">IFERROR(_xlfn.XLOOKUP(M81, Maestro_productos_15!$B:$B, Maestro_productos_15!$D:$D), "No encontrado")</f>
        <v>NutriDog Arg</v>
      </c>
      <c r="O81" s="10" t="str">
        <f t="array" ref="O81">IFERROR(_xlfn.XLOOKUP(M81,Maestro_productos_15!$B:$B,Maestro_productos_15!$C:$C), "Sin Categoria")</f>
        <v>Mascotas</v>
      </c>
      <c r="P81" s="11">
        <f t="shared" si="6"/>
        <v>62000</v>
      </c>
      <c r="Q81" s="11">
        <f t="shared" si="7"/>
        <v>36000</v>
      </c>
      <c r="R81" s="11">
        <f t="shared" si="8"/>
        <v>26000</v>
      </c>
      <c r="S81" s="15">
        <f t="shared" si="9"/>
        <v>1240</v>
      </c>
    </row>
    <row r="82" ht="22.5" customHeight="1">
      <c r="A82" s="5" t="s">
        <v>200</v>
      </c>
      <c r="B82" s="8">
        <f t="shared" si="2"/>
        <v>8</v>
      </c>
      <c r="C82" s="6">
        <v>46026.0</v>
      </c>
      <c r="D82" s="5" t="s">
        <v>88</v>
      </c>
      <c r="E82" s="5" t="s">
        <v>100</v>
      </c>
      <c r="F82" s="7" t="s">
        <v>46</v>
      </c>
      <c r="G82" s="8">
        <v>5.0</v>
      </c>
      <c r="H82" s="8">
        <v>18500.0</v>
      </c>
      <c r="I82" s="8">
        <v>12500.0</v>
      </c>
      <c r="J82" s="10" t="str">
        <f t="shared" si="3"/>
        <v>Corrientes</v>
      </c>
      <c r="K82" s="11">
        <f t="shared" si="4"/>
        <v>5</v>
      </c>
      <c r="L82" s="10" t="str">
        <f t="shared" ref="L82:M82" si="88">PROPER(E82)</f>
        <v>Juan Perez</v>
      </c>
      <c r="M82" s="10" t="str">
        <f t="shared" si="88"/>
        <v>Café En Grano Intenso 1Kg</v>
      </c>
      <c r="N82" s="10" t="str">
        <f t="array" ref="N82">IFERROR(_xlfn.XLOOKUP(M82, Maestro_productos_15!$B:$B, Maestro_productos_15!$D:$D), "No encontrado")</f>
        <v>Distribuidora del Nordeste</v>
      </c>
      <c r="O82" s="10" t="str">
        <f t="array" ref="O82">IFERROR(_xlfn.XLOOKUP(M82,Maestro_productos_15!$B:$B,Maestro_productos_15!$C:$C), "Sin Categoria")</f>
        <v>Alimentos</v>
      </c>
      <c r="P82" s="11">
        <f t="shared" si="6"/>
        <v>92500</v>
      </c>
      <c r="Q82" s="11">
        <f t="shared" si="7"/>
        <v>62500</v>
      </c>
      <c r="R82" s="11">
        <f t="shared" si="8"/>
        <v>30000</v>
      </c>
      <c r="S82" s="15">
        <f t="shared" si="9"/>
        <v>1850</v>
      </c>
    </row>
    <row r="83" ht="22.5" customHeight="1">
      <c r="A83" s="5" t="s">
        <v>201</v>
      </c>
      <c r="B83" s="8">
        <f t="shared" si="2"/>
        <v>8</v>
      </c>
      <c r="C83" s="6">
        <v>46085.0</v>
      </c>
      <c r="D83" s="5" t="s">
        <v>108</v>
      </c>
      <c r="E83" s="5" t="s">
        <v>141</v>
      </c>
      <c r="F83" s="7" t="s">
        <v>56</v>
      </c>
      <c r="G83" s="8">
        <v>25.0</v>
      </c>
      <c r="H83" s="8">
        <v>32000.0</v>
      </c>
      <c r="I83" s="8">
        <v>21000.0</v>
      </c>
      <c r="J83" s="10" t="str">
        <f t="shared" si="3"/>
        <v>Corrientes</v>
      </c>
      <c r="K83" s="11">
        <f t="shared" si="4"/>
        <v>25</v>
      </c>
      <c r="L83" s="10" t="str">
        <f t="shared" ref="L83:M83" si="89">PROPER(E83)</f>
        <v>Carlos Ruiz</v>
      </c>
      <c r="M83" s="10" t="str">
        <f t="shared" si="89"/>
        <v>Termo Acero Inoxidable 1.3L</v>
      </c>
      <c r="N83" s="10" t="str">
        <f t="array" ref="N83">IFERROR(_xlfn.XLOOKUP(M83, Maestro_productos_15!$B:$B, Maestro_productos_15!$D:$D), "No encontrado")</f>
        <v>Distribuidora del Nordeste</v>
      </c>
      <c r="O83" s="10" t="str">
        <f t="array" ref="O83">IFERROR(_xlfn.XLOOKUP(M83,Maestro_productos_15!$B:$B,Maestro_productos_15!$C:$C), "Sin Categoria")</f>
        <v>Bazar</v>
      </c>
      <c r="P83" s="11">
        <f t="shared" si="6"/>
        <v>800000</v>
      </c>
      <c r="Q83" s="11">
        <f t="shared" si="7"/>
        <v>525000</v>
      </c>
      <c r="R83" s="11">
        <f t="shared" si="8"/>
        <v>275000</v>
      </c>
      <c r="S83" s="15">
        <f t="shared" si="9"/>
        <v>48000</v>
      </c>
    </row>
    <row r="84" ht="22.5" customHeight="1">
      <c r="A84" s="5" t="s">
        <v>202</v>
      </c>
      <c r="B84" s="8">
        <f t="shared" si="2"/>
        <v>8</v>
      </c>
      <c r="C84" s="6">
        <v>46104.0</v>
      </c>
      <c r="D84" s="5" t="s">
        <v>88</v>
      </c>
      <c r="E84" s="5" t="s">
        <v>141</v>
      </c>
      <c r="F84" s="7" t="s">
        <v>64</v>
      </c>
      <c r="G84" s="8">
        <v>1.0</v>
      </c>
      <c r="H84" s="8">
        <v>6200.0</v>
      </c>
      <c r="I84" s="8">
        <v>3800.0</v>
      </c>
      <c r="J84" s="10" t="str">
        <f t="shared" si="3"/>
        <v>Corrientes</v>
      </c>
      <c r="K84" s="11">
        <f t="shared" si="4"/>
        <v>1</v>
      </c>
      <c r="L84" s="10" t="str">
        <f t="shared" ref="L84:M84" si="90">PROPER(E84)</f>
        <v>Carlos Ruiz</v>
      </c>
      <c r="M84" s="10" t="str">
        <f t="shared" si="90"/>
        <v>Shampoo Canino Neutro 500Ml</v>
      </c>
      <c r="N84" s="10" t="str">
        <f t="array" ref="N84">IFERROR(_xlfn.XLOOKUP(M84, Maestro_productos_15!$B:$B, Maestro_productos_15!$D:$D), "No encontrado")</f>
        <v>PetStyle Litoral</v>
      </c>
      <c r="O84" s="10" t="str">
        <f t="array" ref="O84">IFERROR(_xlfn.XLOOKUP(M84,Maestro_productos_15!$B:$B,Maestro_productos_15!$C:$C), "Sin Categoria")</f>
        <v>Mascotas</v>
      </c>
      <c r="P84" s="11">
        <f t="shared" si="6"/>
        <v>6200</v>
      </c>
      <c r="Q84" s="11">
        <f t="shared" si="7"/>
        <v>3800</v>
      </c>
      <c r="R84" s="11">
        <f t="shared" si="8"/>
        <v>2400</v>
      </c>
      <c r="S84" s="15">
        <f t="shared" si="9"/>
        <v>124</v>
      </c>
    </row>
    <row r="85" ht="22.5" customHeight="1">
      <c r="A85" s="5" t="s">
        <v>203</v>
      </c>
      <c r="B85" s="8">
        <f t="shared" si="2"/>
        <v>8</v>
      </c>
      <c r="C85" s="6">
        <v>46031.0</v>
      </c>
      <c r="D85" s="5" t="s">
        <v>88</v>
      </c>
      <c r="E85" s="5" t="s">
        <v>106</v>
      </c>
      <c r="F85" s="7" t="s">
        <v>25</v>
      </c>
      <c r="G85" s="8">
        <v>2.0</v>
      </c>
      <c r="H85" s="8">
        <v>19500.0</v>
      </c>
      <c r="I85" s="8">
        <v>12000.0</v>
      </c>
      <c r="J85" s="10" t="str">
        <f t="shared" si="3"/>
        <v>Corrientes</v>
      </c>
      <c r="K85" s="11">
        <f t="shared" si="4"/>
        <v>2</v>
      </c>
      <c r="L85" s="10" t="str">
        <f t="shared" ref="L85:M85" si="91">PROPER(E85)</f>
        <v>Ana Martinez</v>
      </c>
      <c r="M85" s="10" t="str">
        <f t="shared" si="91"/>
        <v>Soporte Regulable Notebook</v>
      </c>
      <c r="N85" s="10" t="str">
        <f t="array" ref="N85">IFERROR(_xlfn.XLOOKUP(M85, Maestro_productos_15!$B:$B, Maestro_productos_15!$D:$D), "No encontrado")</f>
        <v>TechImport S.R.L.</v>
      </c>
      <c r="O85" s="10" t="str">
        <f t="array" ref="O85">IFERROR(_xlfn.XLOOKUP(M85,Maestro_productos_15!$B:$B,Maestro_productos_15!$C:$C), "Sin Categoria")</f>
        <v>Tecnología</v>
      </c>
      <c r="P85" s="11">
        <f t="shared" si="6"/>
        <v>39000</v>
      </c>
      <c r="Q85" s="11">
        <f t="shared" si="7"/>
        <v>24000</v>
      </c>
      <c r="R85" s="11">
        <f t="shared" si="8"/>
        <v>15000</v>
      </c>
      <c r="S85" s="15">
        <f t="shared" si="9"/>
        <v>780</v>
      </c>
    </row>
    <row r="86" ht="22.5" customHeight="1">
      <c r="A86" s="5" t="s">
        <v>204</v>
      </c>
      <c r="B86" s="8">
        <f t="shared" si="2"/>
        <v>8</v>
      </c>
      <c r="C86" s="6">
        <v>46106.0</v>
      </c>
      <c r="D86" s="5" t="s">
        <v>99</v>
      </c>
      <c r="E86" s="5" t="s">
        <v>115</v>
      </c>
      <c r="F86" s="7" t="s">
        <v>64</v>
      </c>
      <c r="G86" s="8">
        <v>16.0</v>
      </c>
      <c r="H86" s="8">
        <v>6200.0</v>
      </c>
      <c r="I86" s="8">
        <v>3800.0</v>
      </c>
      <c r="J86" s="10" t="str">
        <f t="shared" si="3"/>
        <v>Posadas</v>
      </c>
      <c r="K86" s="11">
        <f t="shared" si="4"/>
        <v>16</v>
      </c>
      <c r="L86" s="10" t="str">
        <f t="shared" ref="L86:M86" si="92">PROPER(E86)</f>
        <v>Juan Perez</v>
      </c>
      <c r="M86" s="10" t="str">
        <f t="shared" si="92"/>
        <v>Shampoo Canino Neutro 500Ml</v>
      </c>
      <c r="N86" s="10" t="str">
        <f t="array" ref="N86">IFERROR(_xlfn.XLOOKUP(M86, Maestro_productos_15!$B:$B, Maestro_productos_15!$D:$D), "No encontrado")</f>
        <v>PetStyle Litoral</v>
      </c>
      <c r="O86" s="10" t="str">
        <f t="array" ref="O86">IFERROR(_xlfn.XLOOKUP(M86,Maestro_productos_15!$B:$B,Maestro_productos_15!$C:$C), "Sin Categoria")</f>
        <v>Mascotas</v>
      </c>
      <c r="P86" s="11">
        <f t="shared" si="6"/>
        <v>99200</v>
      </c>
      <c r="Q86" s="11">
        <f t="shared" si="7"/>
        <v>60800</v>
      </c>
      <c r="R86" s="11">
        <f t="shared" si="8"/>
        <v>38400</v>
      </c>
      <c r="S86" s="15">
        <f t="shared" si="9"/>
        <v>1984</v>
      </c>
    </row>
    <row r="87" ht="22.5" customHeight="1">
      <c r="A87" s="5" t="s">
        <v>205</v>
      </c>
      <c r="B87" s="8">
        <f t="shared" si="2"/>
        <v>8</v>
      </c>
      <c r="C87" s="6">
        <v>46064.0</v>
      </c>
      <c r="D87" s="5" t="s">
        <v>102</v>
      </c>
      <c r="E87" s="5" t="s">
        <v>106</v>
      </c>
      <c r="F87" s="7" t="s">
        <v>60</v>
      </c>
      <c r="G87" s="8">
        <v>20.0</v>
      </c>
      <c r="H87" s="8">
        <v>15000.0</v>
      </c>
      <c r="I87" s="8">
        <v>9500.0</v>
      </c>
      <c r="J87" s="10" t="str">
        <f t="shared" si="3"/>
        <v>Resistencia</v>
      </c>
      <c r="K87" s="11">
        <f t="shared" si="4"/>
        <v>20</v>
      </c>
      <c r="L87" s="10" t="str">
        <f t="shared" ref="L87:M87" si="93">PROPER(E87)</f>
        <v>Ana Martinez</v>
      </c>
      <c r="M87" s="10" t="str">
        <f t="shared" si="93"/>
        <v>Mouse Inalámbrico Ergonómico</v>
      </c>
      <c r="N87" s="10" t="str">
        <f t="array" ref="N87">IFERROR(_xlfn.XLOOKUP(M87, Maestro_productos_15!$B:$B, Maestro_productos_15!$D:$D), "No encontrado")</f>
        <v>TechImport S.R.L.</v>
      </c>
      <c r="O87" s="10" t="str">
        <f t="array" ref="O87">IFERROR(_xlfn.XLOOKUP(M87,Maestro_productos_15!$B:$B,Maestro_productos_15!$C:$C), "Sin Categoria")</f>
        <v>Tecnología</v>
      </c>
      <c r="P87" s="11">
        <f t="shared" si="6"/>
        <v>300000</v>
      </c>
      <c r="Q87" s="11">
        <f t="shared" si="7"/>
        <v>190000</v>
      </c>
      <c r="R87" s="11">
        <f t="shared" si="8"/>
        <v>110000</v>
      </c>
      <c r="S87" s="15">
        <f t="shared" si="9"/>
        <v>6000</v>
      </c>
    </row>
    <row r="88" ht="22.5" customHeight="1">
      <c r="A88" s="5" t="s">
        <v>206</v>
      </c>
      <c r="B88" s="8">
        <f t="shared" si="2"/>
        <v>8</v>
      </c>
      <c r="C88" s="6">
        <v>46051.0</v>
      </c>
      <c r="D88" s="5" t="s">
        <v>108</v>
      </c>
      <c r="E88" s="5" t="s">
        <v>113</v>
      </c>
      <c r="F88" s="7" t="s">
        <v>46</v>
      </c>
      <c r="G88" s="8">
        <v>1.0</v>
      </c>
      <c r="H88" s="8">
        <v>18500.0</v>
      </c>
      <c r="I88" s="8">
        <v>12500.0</v>
      </c>
      <c r="J88" s="10" t="str">
        <f t="shared" si="3"/>
        <v>Corrientes</v>
      </c>
      <c r="K88" s="11">
        <f t="shared" si="4"/>
        <v>1</v>
      </c>
      <c r="L88" s="10" t="str">
        <f t="shared" ref="L88:M88" si="94">PROPER(E88)</f>
        <v>Maria Gomez</v>
      </c>
      <c r="M88" s="10" t="str">
        <f t="shared" si="94"/>
        <v>Café En Grano Intenso 1Kg</v>
      </c>
      <c r="N88" s="10" t="str">
        <f t="array" ref="N88">IFERROR(_xlfn.XLOOKUP(M88, Maestro_productos_15!$B:$B, Maestro_productos_15!$D:$D), "No encontrado")</f>
        <v>Distribuidora del Nordeste</v>
      </c>
      <c r="O88" s="10" t="str">
        <f t="array" ref="O88">IFERROR(_xlfn.XLOOKUP(M88,Maestro_productos_15!$B:$B,Maestro_productos_15!$C:$C), "Sin Categoria")</f>
        <v>Alimentos</v>
      </c>
      <c r="P88" s="11">
        <f t="shared" si="6"/>
        <v>18500</v>
      </c>
      <c r="Q88" s="11">
        <f t="shared" si="7"/>
        <v>12500</v>
      </c>
      <c r="R88" s="11">
        <f t="shared" si="8"/>
        <v>6000</v>
      </c>
      <c r="S88" s="15">
        <f t="shared" si="9"/>
        <v>370</v>
      </c>
    </row>
    <row r="89" ht="22.5" customHeight="1">
      <c r="A89" s="5" t="s">
        <v>207</v>
      </c>
      <c r="B89" s="8">
        <f t="shared" si="2"/>
        <v>8</v>
      </c>
      <c r="C89" s="6">
        <v>46084.0</v>
      </c>
      <c r="D89" s="5" t="s">
        <v>118</v>
      </c>
      <c r="E89" s="5" t="s">
        <v>115</v>
      </c>
      <c r="F89" s="7" t="s">
        <v>7</v>
      </c>
      <c r="G89" s="8">
        <v>23.0</v>
      </c>
      <c r="H89" s="8">
        <v>3800.0</v>
      </c>
      <c r="I89" s="8">
        <v>2500.0</v>
      </c>
      <c r="J89" s="10" t="str">
        <f t="shared" si="3"/>
        <v>Posadas</v>
      </c>
      <c r="K89" s="11">
        <f t="shared" si="4"/>
        <v>23</v>
      </c>
      <c r="L89" s="10" t="str">
        <f t="shared" ref="L89:M89" si="95">PROPER(E89)</f>
        <v>Juan Perez</v>
      </c>
      <c r="M89" s="10" t="str">
        <f t="shared" si="95"/>
        <v>Yerba Mate Premium 1Kg</v>
      </c>
      <c r="N89" s="10" t="str">
        <f t="array" ref="N89">IFERROR(_xlfn.XLOOKUP(M89, Maestro_productos_15!$B:$B, Maestro_productos_15!$D:$D), "No encontrado")</f>
        <v>Cooperativa Neike</v>
      </c>
      <c r="O89" s="10" t="str">
        <f t="array" ref="O89">IFERROR(_xlfn.XLOOKUP(M89,Maestro_productos_15!$B:$B,Maestro_productos_15!$C:$C), "Sin Categoria")</f>
        <v>Alimentos</v>
      </c>
      <c r="P89" s="11">
        <f t="shared" si="6"/>
        <v>87400</v>
      </c>
      <c r="Q89" s="11">
        <f t="shared" si="7"/>
        <v>57500</v>
      </c>
      <c r="R89" s="11">
        <f t="shared" si="8"/>
        <v>29900</v>
      </c>
      <c r="S89" s="15">
        <f t="shared" si="9"/>
        <v>1748</v>
      </c>
    </row>
    <row r="90" ht="22.5" customHeight="1">
      <c r="A90" s="5" t="s">
        <v>208</v>
      </c>
      <c r="B90" s="8">
        <f t="shared" si="2"/>
        <v>8</v>
      </c>
      <c r="C90" s="6">
        <v>46046.0</v>
      </c>
      <c r="D90" s="5" t="s">
        <v>103</v>
      </c>
      <c r="E90" s="5" t="s">
        <v>90</v>
      </c>
      <c r="F90" s="7" t="s">
        <v>64</v>
      </c>
      <c r="G90" s="8">
        <v>4.0</v>
      </c>
      <c r="H90" s="8">
        <v>6200.0</v>
      </c>
      <c r="I90" s="8">
        <v>3800.0</v>
      </c>
      <c r="J90" s="10" t="str">
        <f t="shared" si="3"/>
        <v>Formosa</v>
      </c>
      <c r="K90" s="11">
        <f t="shared" si="4"/>
        <v>4</v>
      </c>
      <c r="L90" s="10" t="str">
        <f t="shared" ref="L90:M90" si="96">PROPER(E90)</f>
        <v>Ana Martinez</v>
      </c>
      <c r="M90" s="10" t="str">
        <f t="shared" si="96"/>
        <v>Shampoo Canino Neutro 500Ml</v>
      </c>
      <c r="N90" s="10" t="str">
        <f t="array" ref="N90">IFERROR(_xlfn.XLOOKUP(M90, Maestro_productos_15!$B:$B, Maestro_productos_15!$D:$D), "No encontrado")</f>
        <v>PetStyle Litoral</v>
      </c>
      <c r="O90" s="10" t="str">
        <f t="array" ref="O90">IFERROR(_xlfn.XLOOKUP(M90,Maestro_productos_15!$B:$B,Maestro_productos_15!$C:$C), "Sin Categoria")</f>
        <v>Mascotas</v>
      </c>
      <c r="P90" s="11">
        <f t="shared" si="6"/>
        <v>24800</v>
      </c>
      <c r="Q90" s="11">
        <f t="shared" si="7"/>
        <v>15200</v>
      </c>
      <c r="R90" s="11">
        <f t="shared" si="8"/>
        <v>9600</v>
      </c>
      <c r="S90" s="15">
        <f t="shared" si="9"/>
        <v>496</v>
      </c>
    </row>
    <row r="91" ht="22.5" customHeight="1">
      <c r="A91" s="5" t="s">
        <v>209</v>
      </c>
      <c r="B91" s="8">
        <f t="shared" si="2"/>
        <v>8</v>
      </c>
      <c r="C91" s="6">
        <v>46085.0</v>
      </c>
      <c r="D91" s="5" t="s">
        <v>133</v>
      </c>
      <c r="E91" s="5" t="s">
        <v>90</v>
      </c>
      <c r="F91" s="7" t="s">
        <v>56</v>
      </c>
      <c r="G91" s="8">
        <v>17.0</v>
      </c>
      <c r="H91" s="8">
        <v>32000.0</v>
      </c>
      <c r="I91" s="8">
        <v>21000.0</v>
      </c>
      <c r="J91" s="10" t="str">
        <f t="shared" si="3"/>
        <v>Resistencia</v>
      </c>
      <c r="K91" s="11">
        <f t="shared" si="4"/>
        <v>17</v>
      </c>
      <c r="L91" s="10" t="str">
        <f t="shared" ref="L91:M91" si="97">PROPER(E91)</f>
        <v>Ana Martinez</v>
      </c>
      <c r="M91" s="10" t="str">
        <f t="shared" si="97"/>
        <v>Termo Acero Inoxidable 1.3L</v>
      </c>
      <c r="N91" s="10" t="str">
        <f t="array" ref="N91">IFERROR(_xlfn.XLOOKUP(M91, Maestro_productos_15!$B:$B, Maestro_productos_15!$D:$D), "No encontrado")</f>
        <v>Distribuidora del Nordeste</v>
      </c>
      <c r="O91" s="10" t="str">
        <f t="array" ref="O91">IFERROR(_xlfn.XLOOKUP(M91,Maestro_productos_15!$B:$B,Maestro_productos_15!$C:$C), "Sin Categoria")</f>
        <v>Bazar</v>
      </c>
      <c r="P91" s="11">
        <f t="shared" si="6"/>
        <v>544000</v>
      </c>
      <c r="Q91" s="11">
        <f t="shared" si="7"/>
        <v>357000</v>
      </c>
      <c r="R91" s="11">
        <f t="shared" si="8"/>
        <v>187000</v>
      </c>
      <c r="S91" s="15">
        <f t="shared" si="9"/>
        <v>21760</v>
      </c>
    </row>
    <row r="92" ht="22.5" customHeight="1">
      <c r="A92" s="5" t="s">
        <v>210</v>
      </c>
      <c r="B92" s="8">
        <f t="shared" si="2"/>
        <v>8</v>
      </c>
      <c r="C92" s="6">
        <v>46086.0</v>
      </c>
      <c r="D92" s="5" t="s">
        <v>88</v>
      </c>
      <c r="E92" s="5" t="s">
        <v>141</v>
      </c>
      <c r="F92" s="7" t="s">
        <v>19</v>
      </c>
      <c r="G92" s="8">
        <v>21.0</v>
      </c>
      <c r="H92" s="8">
        <v>28000.0</v>
      </c>
      <c r="I92" s="8">
        <v>18000.0</v>
      </c>
      <c r="J92" s="10" t="str">
        <f t="shared" si="3"/>
        <v>Corrientes</v>
      </c>
      <c r="K92" s="11">
        <f t="shared" si="4"/>
        <v>21</v>
      </c>
      <c r="L92" s="10" t="str">
        <f t="shared" ref="L92:M92" si="98">PROPER(E92)</f>
        <v>Carlos Ruiz</v>
      </c>
      <c r="M92" s="10" t="str">
        <f t="shared" si="98"/>
        <v>Auriculares Bluetooth Pro</v>
      </c>
      <c r="N92" s="10" t="str">
        <f t="array" ref="N92">IFERROR(_xlfn.XLOOKUP(M92, Maestro_productos_15!$B:$B, Maestro_productos_15!$D:$D), "No encontrado")</f>
        <v>TechImport S.R.L.</v>
      </c>
      <c r="O92" s="10" t="str">
        <f t="array" ref="O92">IFERROR(_xlfn.XLOOKUP(M92,Maestro_productos_15!$B:$B,Maestro_productos_15!$C:$C), "Sin Categoria")</f>
        <v>Tecnología</v>
      </c>
      <c r="P92" s="11">
        <f t="shared" si="6"/>
        <v>588000</v>
      </c>
      <c r="Q92" s="11">
        <f t="shared" si="7"/>
        <v>378000</v>
      </c>
      <c r="R92" s="11">
        <f t="shared" si="8"/>
        <v>210000</v>
      </c>
      <c r="S92" s="15">
        <f t="shared" si="9"/>
        <v>35280</v>
      </c>
    </row>
    <row r="93" ht="22.5" customHeight="1">
      <c r="A93" s="5" t="s">
        <v>211</v>
      </c>
      <c r="B93" s="8">
        <f t="shared" si="2"/>
        <v>8</v>
      </c>
      <c r="C93" s="6">
        <v>46034.0</v>
      </c>
      <c r="D93" s="5" t="s">
        <v>118</v>
      </c>
      <c r="E93" s="5" t="s">
        <v>127</v>
      </c>
      <c r="F93" s="7" t="s">
        <v>19</v>
      </c>
      <c r="G93" s="8">
        <v>9.0</v>
      </c>
      <c r="H93" s="8">
        <v>28000.0</v>
      </c>
      <c r="I93" s="8">
        <v>18000.0</v>
      </c>
      <c r="J93" s="10" t="str">
        <f t="shared" si="3"/>
        <v>Posadas</v>
      </c>
      <c r="K93" s="11">
        <f t="shared" si="4"/>
        <v>9</v>
      </c>
      <c r="L93" s="10" t="str">
        <f t="shared" ref="L93:M93" si="99">PROPER(E93)</f>
        <v>Carlos Ruiz</v>
      </c>
      <c r="M93" s="10" t="str">
        <f t="shared" si="99"/>
        <v>Auriculares Bluetooth Pro</v>
      </c>
      <c r="N93" s="10" t="str">
        <f t="array" ref="N93">IFERROR(_xlfn.XLOOKUP(M93, Maestro_productos_15!$B:$B, Maestro_productos_15!$D:$D), "No encontrado")</f>
        <v>TechImport S.R.L.</v>
      </c>
      <c r="O93" s="10" t="str">
        <f t="array" ref="O93">IFERROR(_xlfn.XLOOKUP(M93,Maestro_productos_15!$B:$B,Maestro_productos_15!$C:$C), "Sin Categoria")</f>
        <v>Tecnología</v>
      </c>
      <c r="P93" s="11">
        <f t="shared" si="6"/>
        <v>252000</v>
      </c>
      <c r="Q93" s="11">
        <f t="shared" si="7"/>
        <v>162000</v>
      </c>
      <c r="R93" s="11">
        <f t="shared" si="8"/>
        <v>90000</v>
      </c>
      <c r="S93" s="15">
        <f t="shared" si="9"/>
        <v>10080</v>
      </c>
    </row>
    <row r="94" ht="22.5" customHeight="1">
      <c r="A94" s="5" t="s">
        <v>212</v>
      </c>
      <c r="B94" s="8">
        <f t="shared" si="2"/>
        <v>8</v>
      </c>
      <c r="C94" s="6">
        <v>46055.0</v>
      </c>
      <c r="D94" s="5" t="s">
        <v>133</v>
      </c>
      <c r="E94" s="5" t="s">
        <v>106</v>
      </c>
      <c r="F94" s="7" t="s">
        <v>42</v>
      </c>
      <c r="G94" s="8">
        <v>9.0</v>
      </c>
      <c r="H94" s="8">
        <v>45000.0</v>
      </c>
      <c r="I94" s="8">
        <v>30000.0</v>
      </c>
      <c r="J94" s="10" t="str">
        <f t="shared" si="3"/>
        <v>Resistencia</v>
      </c>
      <c r="K94" s="11">
        <f t="shared" si="4"/>
        <v>9</v>
      </c>
      <c r="L94" s="10" t="str">
        <f t="shared" ref="L94:M94" si="100">PROPER(E94)</f>
        <v>Ana Martinez</v>
      </c>
      <c r="M94" s="10" t="str">
        <f t="shared" si="100"/>
        <v>Teclado Mecánico Rgb</v>
      </c>
      <c r="N94" s="10" t="str">
        <f t="array" ref="N94">IFERROR(_xlfn.XLOOKUP(M94, Maestro_productos_15!$B:$B, Maestro_productos_15!$D:$D), "No encontrado")</f>
        <v>TechImport S.R.L.</v>
      </c>
      <c r="O94" s="10" t="str">
        <f t="array" ref="O94">IFERROR(_xlfn.XLOOKUP(M94,Maestro_productos_15!$B:$B,Maestro_productos_15!$C:$C), "Sin Categoria")</f>
        <v>Tecnología</v>
      </c>
      <c r="P94" s="11">
        <f t="shared" si="6"/>
        <v>405000</v>
      </c>
      <c r="Q94" s="11">
        <f t="shared" si="7"/>
        <v>270000</v>
      </c>
      <c r="R94" s="11">
        <f t="shared" si="8"/>
        <v>135000</v>
      </c>
      <c r="S94" s="15">
        <f t="shared" si="9"/>
        <v>16200</v>
      </c>
    </row>
    <row r="95" ht="22.5" customHeight="1">
      <c r="A95" s="5" t="s">
        <v>213</v>
      </c>
      <c r="B95" s="8">
        <f t="shared" si="2"/>
        <v>8</v>
      </c>
      <c r="C95" s="6">
        <v>46097.0</v>
      </c>
      <c r="D95" s="5" t="s">
        <v>133</v>
      </c>
      <c r="E95" s="5" t="s">
        <v>115</v>
      </c>
      <c r="F95" s="7" t="s">
        <v>46</v>
      </c>
      <c r="G95" s="8">
        <v>19.0</v>
      </c>
      <c r="H95" s="8">
        <v>18500.0</v>
      </c>
      <c r="I95" s="8">
        <v>12500.0</v>
      </c>
      <c r="J95" s="10" t="str">
        <f t="shared" si="3"/>
        <v>Resistencia</v>
      </c>
      <c r="K95" s="11">
        <f t="shared" si="4"/>
        <v>19</v>
      </c>
      <c r="L95" s="10" t="str">
        <f t="shared" ref="L95:M95" si="101">PROPER(E95)</f>
        <v>Juan Perez</v>
      </c>
      <c r="M95" s="10" t="str">
        <f t="shared" si="101"/>
        <v>Café En Grano Intenso 1Kg</v>
      </c>
      <c r="N95" s="10" t="str">
        <f t="array" ref="N95">IFERROR(_xlfn.XLOOKUP(M95, Maestro_productos_15!$B:$B, Maestro_productos_15!$D:$D), "No encontrado")</f>
        <v>Distribuidora del Nordeste</v>
      </c>
      <c r="O95" s="10" t="str">
        <f t="array" ref="O95">IFERROR(_xlfn.XLOOKUP(M95,Maestro_productos_15!$B:$B,Maestro_productos_15!$C:$C), "Sin Categoria")</f>
        <v>Alimentos</v>
      </c>
      <c r="P95" s="11">
        <f t="shared" si="6"/>
        <v>351500</v>
      </c>
      <c r="Q95" s="11">
        <f t="shared" si="7"/>
        <v>237500</v>
      </c>
      <c r="R95" s="11">
        <f t="shared" si="8"/>
        <v>114000</v>
      </c>
      <c r="S95" s="15">
        <f t="shared" si="9"/>
        <v>7030</v>
      </c>
    </row>
    <row r="96" ht="22.5" customHeight="1">
      <c r="A96" s="5" t="s">
        <v>214</v>
      </c>
      <c r="B96" s="8">
        <f t="shared" si="2"/>
        <v>8</v>
      </c>
      <c r="C96" s="6">
        <v>46065.0</v>
      </c>
      <c r="D96" s="5" t="s">
        <v>102</v>
      </c>
      <c r="E96" s="5" t="s">
        <v>115</v>
      </c>
      <c r="F96" s="7" t="s">
        <v>60</v>
      </c>
      <c r="G96" s="8">
        <v>12.0</v>
      </c>
      <c r="H96" s="8">
        <v>15000.0</v>
      </c>
      <c r="I96" s="8">
        <v>9500.0</v>
      </c>
      <c r="J96" s="10" t="str">
        <f t="shared" si="3"/>
        <v>Resistencia</v>
      </c>
      <c r="K96" s="11">
        <f t="shared" si="4"/>
        <v>12</v>
      </c>
      <c r="L96" s="10" t="str">
        <f t="shared" ref="L96:M96" si="102">PROPER(E96)</f>
        <v>Juan Perez</v>
      </c>
      <c r="M96" s="10" t="str">
        <f t="shared" si="102"/>
        <v>Mouse Inalámbrico Ergonómico</v>
      </c>
      <c r="N96" s="10" t="str">
        <f t="array" ref="N96">IFERROR(_xlfn.XLOOKUP(M96, Maestro_productos_15!$B:$B, Maestro_productos_15!$D:$D), "No encontrado")</f>
        <v>TechImport S.R.L.</v>
      </c>
      <c r="O96" s="10" t="str">
        <f t="array" ref="O96">IFERROR(_xlfn.XLOOKUP(M96,Maestro_productos_15!$B:$B,Maestro_productos_15!$C:$C), "Sin Categoria")</f>
        <v>Tecnología</v>
      </c>
      <c r="P96" s="11">
        <f t="shared" si="6"/>
        <v>180000</v>
      </c>
      <c r="Q96" s="11">
        <f t="shared" si="7"/>
        <v>114000</v>
      </c>
      <c r="R96" s="11">
        <f t="shared" si="8"/>
        <v>66000</v>
      </c>
      <c r="S96" s="15">
        <f t="shared" si="9"/>
        <v>3600</v>
      </c>
    </row>
    <row r="97" ht="22.5" customHeight="1">
      <c r="A97" s="5" t="s">
        <v>215</v>
      </c>
      <c r="B97" s="8">
        <f t="shared" si="2"/>
        <v>8</v>
      </c>
      <c r="C97" s="6">
        <v>46031.0</v>
      </c>
      <c r="D97" s="5" t="s">
        <v>102</v>
      </c>
      <c r="E97" s="5" t="s">
        <v>127</v>
      </c>
      <c r="F97" s="7" t="s">
        <v>25</v>
      </c>
      <c r="G97" s="8">
        <v>1.0</v>
      </c>
      <c r="H97" s="8">
        <v>19500.0</v>
      </c>
      <c r="I97" s="8">
        <v>12000.0</v>
      </c>
      <c r="J97" s="10" t="str">
        <f t="shared" si="3"/>
        <v>Resistencia</v>
      </c>
      <c r="K97" s="11">
        <f t="shared" si="4"/>
        <v>1</v>
      </c>
      <c r="L97" s="10" t="str">
        <f t="shared" ref="L97:M97" si="103">PROPER(E97)</f>
        <v>Carlos Ruiz</v>
      </c>
      <c r="M97" s="10" t="str">
        <f t="shared" si="103"/>
        <v>Soporte Regulable Notebook</v>
      </c>
      <c r="N97" s="10" t="str">
        <f t="array" ref="N97">IFERROR(_xlfn.XLOOKUP(M97, Maestro_productos_15!$B:$B, Maestro_productos_15!$D:$D), "No encontrado")</f>
        <v>TechImport S.R.L.</v>
      </c>
      <c r="O97" s="10" t="str">
        <f t="array" ref="O97">IFERROR(_xlfn.XLOOKUP(M97,Maestro_productos_15!$B:$B,Maestro_productos_15!$C:$C), "Sin Categoria")</f>
        <v>Tecnología</v>
      </c>
      <c r="P97" s="11">
        <f t="shared" si="6"/>
        <v>19500</v>
      </c>
      <c r="Q97" s="11">
        <f t="shared" si="7"/>
        <v>12000</v>
      </c>
      <c r="R97" s="11">
        <f t="shared" si="8"/>
        <v>7500</v>
      </c>
      <c r="S97" s="15">
        <f t="shared" si="9"/>
        <v>390</v>
      </c>
    </row>
    <row r="98" ht="22.5" customHeight="1">
      <c r="A98" s="5" t="s">
        <v>216</v>
      </c>
      <c r="B98" s="8">
        <f t="shared" si="2"/>
        <v>8</v>
      </c>
      <c r="C98" s="6">
        <v>46043.0</v>
      </c>
      <c r="D98" s="5" t="s">
        <v>99</v>
      </c>
      <c r="E98" s="5" t="s">
        <v>106</v>
      </c>
      <c r="F98" s="7" t="s">
        <v>71</v>
      </c>
      <c r="G98" s="8">
        <v>16.0</v>
      </c>
      <c r="H98" s="8">
        <v>22000.0</v>
      </c>
      <c r="I98" s="8">
        <v>14000.0</v>
      </c>
      <c r="J98" s="10" t="str">
        <f t="shared" si="3"/>
        <v>Posadas</v>
      </c>
      <c r="K98" s="11">
        <f t="shared" si="4"/>
        <v>16</v>
      </c>
      <c r="L98" s="10" t="str">
        <f t="shared" ref="L98:M98" si="104">PROPER(E98)</f>
        <v>Ana Martinez</v>
      </c>
      <c r="M98" s="10" t="str">
        <f t="shared" si="104"/>
        <v>Cargador Rápido Usb-C 65W</v>
      </c>
      <c r="N98" s="10" t="str">
        <f t="array" ref="N98">IFERROR(_xlfn.XLOOKUP(M98, Maestro_productos_15!$B:$B, Maestro_productos_15!$D:$D), "No encontrado")</f>
        <v>TechImport S.R.L.</v>
      </c>
      <c r="O98" s="10" t="str">
        <f t="array" ref="O98">IFERROR(_xlfn.XLOOKUP(M98,Maestro_productos_15!$B:$B,Maestro_productos_15!$C:$C), "Sin Categoria")</f>
        <v>Tecnología</v>
      </c>
      <c r="P98" s="11">
        <f t="shared" si="6"/>
        <v>352000</v>
      </c>
      <c r="Q98" s="11">
        <f t="shared" si="7"/>
        <v>224000</v>
      </c>
      <c r="R98" s="11">
        <f t="shared" si="8"/>
        <v>128000</v>
      </c>
      <c r="S98" s="15">
        <f t="shared" si="9"/>
        <v>7040</v>
      </c>
    </row>
    <row r="99" ht="22.5" customHeight="1">
      <c r="A99" s="5" t="s">
        <v>217</v>
      </c>
      <c r="B99" s="8">
        <f t="shared" si="2"/>
        <v>8</v>
      </c>
      <c r="C99" s="6">
        <v>46101.0</v>
      </c>
      <c r="D99" s="5" t="s">
        <v>108</v>
      </c>
      <c r="E99" s="5" t="s">
        <v>141</v>
      </c>
      <c r="F99" s="7" t="s">
        <v>46</v>
      </c>
      <c r="G99" s="8">
        <v>10.0</v>
      </c>
      <c r="H99" s="8">
        <v>18500.0</v>
      </c>
      <c r="I99" s="8">
        <v>12500.0</v>
      </c>
      <c r="J99" s="10" t="str">
        <f t="shared" si="3"/>
        <v>Corrientes</v>
      </c>
      <c r="K99" s="11">
        <f t="shared" si="4"/>
        <v>10</v>
      </c>
      <c r="L99" s="10" t="str">
        <f t="shared" ref="L99:M99" si="105">PROPER(E99)</f>
        <v>Carlos Ruiz</v>
      </c>
      <c r="M99" s="10" t="str">
        <f t="shared" si="105"/>
        <v>Café En Grano Intenso 1Kg</v>
      </c>
      <c r="N99" s="10" t="str">
        <f t="array" ref="N99">IFERROR(_xlfn.XLOOKUP(M99, Maestro_productos_15!$B:$B, Maestro_productos_15!$D:$D), "No encontrado")</f>
        <v>Distribuidora del Nordeste</v>
      </c>
      <c r="O99" s="10" t="str">
        <f t="array" ref="O99">IFERROR(_xlfn.XLOOKUP(M99,Maestro_productos_15!$B:$B,Maestro_productos_15!$C:$C), "Sin Categoria")</f>
        <v>Alimentos</v>
      </c>
      <c r="P99" s="11">
        <f t="shared" si="6"/>
        <v>185000</v>
      </c>
      <c r="Q99" s="11">
        <f t="shared" si="7"/>
        <v>125000</v>
      </c>
      <c r="R99" s="11">
        <f t="shared" si="8"/>
        <v>60000</v>
      </c>
      <c r="S99" s="15">
        <f t="shared" si="9"/>
        <v>3700</v>
      </c>
    </row>
    <row r="100" ht="22.5" customHeight="1">
      <c r="A100" s="5" t="s">
        <v>218</v>
      </c>
      <c r="B100" s="8">
        <f t="shared" si="2"/>
        <v>8</v>
      </c>
      <c r="C100" s="6">
        <v>46058.0</v>
      </c>
      <c r="D100" s="5" t="s">
        <v>133</v>
      </c>
      <c r="E100" s="5" t="s">
        <v>90</v>
      </c>
      <c r="F100" s="7" t="s">
        <v>25</v>
      </c>
      <c r="G100" s="8">
        <v>12.0</v>
      </c>
      <c r="H100" s="8">
        <v>19500.0</v>
      </c>
      <c r="I100" s="8">
        <v>12000.0</v>
      </c>
      <c r="J100" s="10" t="str">
        <f t="shared" si="3"/>
        <v>Resistencia</v>
      </c>
      <c r="K100" s="11">
        <f t="shared" si="4"/>
        <v>12</v>
      </c>
      <c r="L100" s="10" t="str">
        <f t="shared" ref="L100:M100" si="106">PROPER(E100)</f>
        <v>Ana Martinez</v>
      </c>
      <c r="M100" s="10" t="str">
        <f t="shared" si="106"/>
        <v>Soporte Regulable Notebook</v>
      </c>
      <c r="N100" s="10" t="str">
        <f t="array" ref="N100">IFERROR(_xlfn.XLOOKUP(M100, Maestro_productos_15!$B:$B, Maestro_productos_15!$D:$D), "No encontrado")</f>
        <v>TechImport S.R.L.</v>
      </c>
      <c r="O100" s="10" t="str">
        <f t="array" ref="O100">IFERROR(_xlfn.XLOOKUP(M100,Maestro_productos_15!$B:$B,Maestro_productos_15!$C:$C), "Sin Categoria")</f>
        <v>Tecnología</v>
      </c>
      <c r="P100" s="11">
        <f t="shared" si="6"/>
        <v>234000</v>
      </c>
      <c r="Q100" s="11">
        <f t="shared" si="7"/>
        <v>144000</v>
      </c>
      <c r="R100" s="11">
        <f t="shared" si="8"/>
        <v>90000</v>
      </c>
      <c r="S100" s="15">
        <f t="shared" si="9"/>
        <v>4680</v>
      </c>
    </row>
    <row r="101" ht="22.5" customHeight="1">
      <c r="A101" s="5" t="s">
        <v>219</v>
      </c>
      <c r="B101" s="8">
        <f t="shared" si="2"/>
        <v>8</v>
      </c>
      <c r="C101" s="6">
        <v>46026.0</v>
      </c>
      <c r="D101" s="5" t="s">
        <v>118</v>
      </c>
      <c r="E101" s="5" t="s">
        <v>115</v>
      </c>
      <c r="F101" s="7" t="s">
        <v>7</v>
      </c>
      <c r="G101" s="8">
        <v>24.0</v>
      </c>
      <c r="H101" s="8">
        <v>3800.0</v>
      </c>
      <c r="I101" s="8">
        <v>2500.0</v>
      </c>
      <c r="J101" s="10" t="str">
        <f t="shared" si="3"/>
        <v>Posadas</v>
      </c>
      <c r="K101" s="11">
        <f t="shared" si="4"/>
        <v>24</v>
      </c>
      <c r="L101" s="10" t="str">
        <f t="shared" ref="L101:M101" si="107">PROPER(E101)</f>
        <v>Juan Perez</v>
      </c>
      <c r="M101" s="10" t="str">
        <f t="shared" si="107"/>
        <v>Yerba Mate Premium 1Kg</v>
      </c>
      <c r="N101" s="10" t="str">
        <f t="array" ref="N101">IFERROR(_xlfn.XLOOKUP(M101, Maestro_productos_15!$B:$B, Maestro_productos_15!$D:$D), "No encontrado")</f>
        <v>Cooperativa Neike</v>
      </c>
      <c r="O101" s="10" t="str">
        <f t="array" ref="O101">IFERROR(_xlfn.XLOOKUP(M101,Maestro_productos_15!$B:$B,Maestro_productos_15!$C:$C), "Sin Categoria")</f>
        <v>Alimentos</v>
      </c>
      <c r="P101" s="11">
        <f t="shared" si="6"/>
        <v>91200</v>
      </c>
      <c r="Q101" s="11">
        <f t="shared" si="7"/>
        <v>60000</v>
      </c>
      <c r="R101" s="11">
        <f t="shared" si="8"/>
        <v>31200</v>
      </c>
      <c r="S101" s="15">
        <f t="shared" si="9"/>
        <v>1824</v>
      </c>
    </row>
    <row r="102" ht="22.5" customHeight="1">
      <c r="A102" s="5" t="s">
        <v>220</v>
      </c>
      <c r="B102" s="8">
        <f t="shared" si="2"/>
        <v>8</v>
      </c>
      <c r="C102" s="6">
        <v>46085.0</v>
      </c>
      <c r="D102" s="5" t="s">
        <v>118</v>
      </c>
      <c r="E102" s="5" t="s">
        <v>141</v>
      </c>
      <c r="F102" s="7" t="s">
        <v>60</v>
      </c>
      <c r="G102" s="8">
        <v>19.0</v>
      </c>
      <c r="H102" s="8">
        <v>15000.0</v>
      </c>
      <c r="I102" s="8">
        <v>9500.0</v>
      </c>
      <c r="J102" s="10" t="str">
        <f t="shared" si="3"/>
        <v>Posadas</v>
      </c>
      <c r="K102" s="11">
        <f t="shared" si="4"/>
        <v>19</v>
      </c>
      <c r="L102" s="10" t="str">
        <f t="shared" ref="L102:M102" si="108">PROPER(E102)</f>
        <v>Carlos Ruiz</v>
      </c>
      <c r="M102" s="10" t="str">
        <f t="shared" si="108"/>
        <v>Mouse Inalámbrico Ergonómico</v>
      </c>
      <c r="N102" s="10" t="str">
        <f t="array" ref="N102">IFERROR(_xlfn.XLOOKUP(M102, Maestro_productos_15!$B:$B, Maestro_productos_15!$D:$D), "No encontrado")</f>
        <v>TechImport S.R.L.</v>
      </c>
      <c r="O102" s="10" t="str">
        <f t="array" ref="O102">IFERROR(_xlfn.XLOOKUP(M102,Maestro_productos_15!$B:$B,Maestro_productos_15!$C:$C), "Sin Categoria")</f>
        <v>Tecnología</v>
      </c>
      <c r="P102" s="11">
        <f t="shared" si="6"/>
        <v>285000</v>
      </c>
      <c r="Q102" s="11">
        <f t="shared" si="7"/>
        <v>180500</v>
      </c>
      <c r="R102" s="11">
        <f t="shared" si="8"/>
        <v>104500</v>
      </c>
      <c r="S102" s="15">
        <f t="shared" si="9"/>
        <v>5700</v>
      </c>
    </row>
    <row r="103" ht="22.5" customHeight="1">
      <c r="A103" s="5" t="s">
        <v>221</v>
      </c>
      <c r="B103" s="8">
        <f t="shared" si="2"/>
        <v>8</v>
      </c>
      <c r="C103" s="6">
        <v>46027.0</v>
      </c>
      <c r="D103" s="5" t="s">
        <v>103</v>
      </c>
      <c r="E103" s="5" t="s">
        <v>115</v>
      </c>
      <c r="F103" s="7" t="s">
        <v>19</v>
      </c>
      <c r="G103" s="8">
        <v>12.0</v>
      </c>
      <c r="H103" s="8">
        <v>28000.0</v>
      </c>
      <c r="I103" s="8">
        <v>18000.0</v>
      </c>
      <c r="J103" s="10" t="str">
        <f t="shared" si="3"/>
        <v>Formosa</v>
      </c>
      <c r="K103" s="11">
        <f t="shared" si="4"/>
        <v>12</v>
      </c>
      <c r="L103" s="10" t="str">
        <f t="shared" ref="L103:M103" si="109">PROPER(E103)</f>
        <v>Juan Perez</v>
      </c>
      <c r="M103" s="10" t="str">
        <f t="shared" si="109"/>
        <v>Auriculares Bluetooth Pro</v>
      </c>
      <c r="N103" s="10" t="str">
        <f t="array" ref="N103">IFERROR(_xlfn.XLOOKUP(M103, Maestro_productos_15!$B:$B, Maestro_productos_15!$D:$D), "No encontrado")</f>
        <v>TechImport S.R.L.</v>
      </c>
      <c r="O103" s="10" t="str">
        <f t="array" ref="O103">IFERROR(_xlfn.XLOOKUP(M103,Maestro_productos_15!$B:$B,Maestro_productos_15!$C:$C), "Sin Categoria")</f>
        <v>Tecnología</v>
      </c>
      <c r="P103" s="11">
        <f t="shared" si="6"/>
        <v>336000</v>
      </c>
      <c r="Q103" s="11">
        <f t="shared" si="7"/>
        <v>216000</v>
      </c>
      <c r="R103" s="11">
        <f t="shared" si="8"/>
        <v>120000</v>
      </c>
      <c r="S103" s="15">
        <f t="shared" si="9"/>
        <v>13440</v>
      </c>
    </row>
    <row r="104" ht="22.5" customHeight="1">
      <c r="A104" s="5" t="s">
        <v>222</v>
      </c>
      <c r="B104" s="8">
        <f t="shared" si="2"/>
        <v>8</v>
      </c>
      <c r="C104" s="6">
        <v>46054.0</v>
      </c>
      <c r="D104" s="5" t="s">
        <v>88</v>
      </c>
      <c r="E104" s="5" t="s">
        <v>100</v>
      </c>
      <c r="F104" s="7" t="s">
        <v>42</v>
      </c>
      <c r="G104" s="8">
        <v>23.0</v>
      </c>
      <c r="H104" s="8">
        <v>45000.0</v>
      </c>
      <c r="I104" s="8">
        <v>30000.0</v>
      </c>
      <c r="J104" s="10" t="str">
        <f t="shared" si="3"/>
        <v>Corrientes</v>
      </c>
      <c r="K104" s="11">
        <f t="shared" si="4"/>
        <v>23</v>
      </c>
      <c r="L104" s="10" t="str">
        <f t="shared" ref="L104:M104" si="110">PROPER(E104)</f>
        <v>Juan Perez</v>
      </c>
      <c r="M104" s="10" t="str">
        <f t="shared" si="110"/>
        <v>Teclado Mecánico Rgb</v>
      </c>
      <c r="N104" s="10" t="str">
        <f t="array" ref="N104">IFERROR(_xlfn.XLOOKUP(M104, Maestro_productos_15!$B:$B, Maestro_productos_15!$D:$D), "No encontrado")</f>
        <v>TechImport S.R.L.</v>
      </c>
      <c r="O104" s="10" t="str">
        <f t="array" ref="O104">IFERROR(_xlfn.XLOOKUP(M104,Maestro_productos_15!$B:$B,Maestro_productos_15!$C:$C), "Sin Categoria")</f>
        <v>Tecnología</v>
      </c>
      <c r="P104" s="11">
        <f t="shared" si="6"/>
        <v>1035000</v>
      </c>
      <c r="Q104" s="11">
        <f t="shared" si="7"/>
        <v>690000</v>
      </c>
      <c r="R104" s="11">
        <f t="shared" si="8"/>
        <v>345000</v>
      </c>
      <c r="S104" s="15">
        <f t="shared" si="9"/>
        <v>62100</v>
      </c>
    </row>
    <row r="105" ht="22.5" customHeight="1">
      <c r="A105" s="5" t="s">
        <v>223</v>
      </c>
      <c r="B105" s="8">
        <f t="shared" si="2"/>
        <v>8</v>
      </c>
      <c r="C105" s="6">
        <v>46075.0</v>
      </c>
      <c r="D105" s="5" t="s">
        <v>103</v>
      </c>
      <c r="E105" s="5" t="s">
        <v>100</v>
      </c>
      <c r="F105" s="7" t="s">
        <v>19</v>
      </c>
      <c r="G105" s="8">
        <v>16.0</v>
      </c>
      <c r="H105" s="8">
        <v>28000.0</v>
      </c>
      <c r="I105" s="8">
        <v>18000.0</v>
      </c>
      <c r="J105" s="10" t="str">
        <f t="shared" si="3"/>
        <v>Formosa</v>
      </c>
      <c r="K105" s="11">
        <f t="shared" si="4"/>
        <v>16</v>
      </c>
      <c r="L105" s="10" t="str">
        <f t="shared" ref="L105:M105" si="111">PROPER(E105)</f>
        <v>Juan Perez</v>
      </c>
      <c r="M105" s="10" t="str">
        <f t="shared" si="111"/>
        <v>Auriculares Bluetooth Pro</v>
      </c>
      <c r="N105" s="10" t="str">
        <f t="array" ref="N105">IFERROR(_xlfn.XLOOKUP(M105, Maestro_productos_15!$B:$B, Maestro_productos_15!$D:$D), "No encontrado")</f>
        <v>TechImport S.R.L.</v>
      </c>
      <c r="O105" s="10" t="str">
        <f t="array" ref="O105">IFERROR(_xlfn.XLOOKUP(M105,Maestro_productos_15!$B:$B,Maestro_productos_15!$C:$C), "Sin Categoria")</f>
        <v>Tecnología</v>
      </c>
      <c r="P105" s="11">
        <f t="shared" si="6"/>
        <v>448000</v>
      </c>
      <c r="Q105" s="11">
        <f t="shared" si="7"/>
        <v>288000</v>
      </c>
      <c r="R105" s="11">
        <f t="shared" si="8"/>
        <v>160000</v>
      </c>
      <c r="S105" s="15">
        <f t="shared" si="9"/>
        <v>17920</v>
      </c>
    </row>
    <row r="106" ht="22.5" customHeight="1">
      <c r="A106" s="5" t="s">
        <v>224</v>
      </c>
      <c r="B106" s="8">
        <f t="shared" si="2"/>
        <v>8</v>
      </c>
      <c r="C106" s="6">
        <v>46088.0</v>
      </c>
      <c r="D106" s="5" t="s">
        <v>103</v>
      </c>
      <c r="E106" s="5" t="s">
        <v>141</v>
      </c>
      <c r="F106" s="7" t="s">
        <v>67</v>
      </c>
      <c r="G106" s="8">
        <v>3.0</v>
      </c>
      <c r="H106" s="8">
        <v>3100.0</v>
      </c>
      <c r="I106" s="8">
        <v>1800.0</v>
      </c>
      <c r="J106" s="10" t="str">
        <f t="shared" si="3"/>
        <v>Formosa</v>
      </c>
      <c r="K106" s="11">
        <f t="shared" si="4"/>
        <v>3</v>
      </c>
      <c r="L106" s="10" t="str">
        <f t="shared" ref="L106:M106" si="112">PROPER(E106)</f>
        <v>Carlos Ruiz</v>
      </c>
      <c r="M106" s="10" t="str">
        <f t="shared" si="112"/>
        <v>Snack Premios Perro 250G</v>
      </c>
      <c r="N106" s="10" t="str">
        <f t="array" ref="N106">IFERROR(_xlfn.XLOOKUP(M106, Maestro_productos_15!$B:$B, Maestro_productos_15!$D:$D), "No encontrado")</f>
        <v>NutriDog Arg</v>
      </c>
      <c r="O106" s="10" t="str">
        <f t="array" ref="O106">IFERROR(_xlfn.XLOOKUP(M106,Maestro_productos_15!$B:$B,Maestro_productos_15!$C:$C), "Sin Categoria")</f>
        <v>Mascotas</v>
      </c>
      <c r="P106" s="11">
        <f t="shared" si="6"/>
        <v>9300</v>
      </c>
      <c r="Q106" s="11">
        <f t="shared" si="7"/>
        <v>5400</v>
      </c>
      <c r="R106" s="11">
        <f t="shared" si="8"/>
        <v>3900</v>
      </c>
      <c r="S106" s="15">
        <f t="shared" si="9"/>
        <v>186</v>
      </c>
    </row>
    <row r="107" ht="22.5" customHeight="1">
      <c r="A107" s="5" t="s">
        <v>225</v>
      </c>
      <c r="B107" s="8">
        <f t="shared" si="2"/>
        <v>8</v>
      </c>
      <c r="C107" s="6">
        <v>46103.0</v>
      </c>
      <c r="D107" s="5" t="s">
        <v>108</v>
      </c>
      <c r="E107" s="5" t="s">
        <v>115</v>
      </c>
      <c r="F107" s="7" t="s">
        <v>226</v>
      </c>
      <c r="G107" s="8">
        <v>10.0</v>
      </c>
      <c r="H107" s="8">
        <v>3100.0</v>
      </c>
      <c r="I107" s="8">
        <v>1800.0</v>
      </c>
      <c r="J107" s="10" t="str">
        <f t="shared" si="3"/>
        <v>Corrientes</v>
      </c>
      <c r="K107" s="11">
        <f t="shared" si="4"/>
        <v>10</v>
      </c>
      <c r="L107" s="10" t="str">
        <f t="shared" ref="L107:M107" si="113">PROPER(E107)</f>
        <v>Juan Perez</v>
      </c>
      <c r="M107" s="10" t="str">
        <f t="shared" si="113"/>
        <v>Snack Premios Perro 250G</v>
      </c>
      <c r="N107" s="10" t="str">
        <f t="array" ref="N107">IFERROR(_xlfn.XLOOKUP(M107, Maestro_productos_15!$B:$B, Maestro_productos_15!$D:$D), "No encontrado")</f>
        <v>NutriDog Arg</v>
      </c>
      <c r="O107" s="10" t="str">
        <f t="array" ref="O107">IFERROR(_xlfn.XLOOKUP(M107,Maestro_productos_15!$B:$B,Maestro_productos_15!$C:$C), "Sin Categoria")</f>
        <v>Mascotas</v>
      </c>
      <c r="P107" s="11">
        <f t="shared" si="6"/>
        <v>31000</v>
      </c>
      <c r="Q107" s="11">
        <f t="shared" si="7"/>
        <v>18000</v>
      </c>
      <c r="R107" s="11">
        <f t="shared" si="8"/>
        <v>13000</v>
      </c>
      <c r="S107" s="15">
        <f t="shared" si="9"/>
        <v>620</v>
      </c>
    </row>
    <row r="108" ht="22.5" customHeight="1">
      <c r="A108" s="5" t="s">
        <v>227</v>
      </c>
      <c r="B108" s="8">
        <f t="shared" si="2"/>
        <v>8</v>
      </c>
      <c r="C108" s="6">
        <v>46063.0</v>
      </c>
      <c r="D108" s="5" t="s">
        <v>103</v>
      </c>
      <c r="E108" s="5" t="s">
        <v>141</v>
      </c>
      <c r="F108" s="7" t="s">
        <v>29</v>
      </c>
      <c r="G108" s="8">
        <v>20.0</v>
      </c>
      <c r="H108" s="8">
        <v>9200.0</v>
      </c>
      <c r="I108" s="8">
        <v>5500.0</v>
      </c>
      <c r="J108" s="10" t="str">
        <f t="shared" si="3"/>
        <v>Formosa</v>
      </c>
      <c r="K108" s="11">
        <f t="shared" si="4"/>
        <v>20</v>
      </c>
      <c r="L108" s="10" t="str">
        <f t="shared" ref="L108:M108" si="114">PROPER(E108)</f>
        <v>Carlos Ruiz</v>
      </c>
      <c r="M108" s="10" t="str">
        <f t="shared" si="114"/>
        <v>Correa Reforzada Canina 3M</v>
      </c>
      <c r="N108" s="10" t="str">
        <f t="array" ref="N108">IFERROR(_xlfn.XLOOKUP(M108, Maestro_productos_15!$B:$B, Maestro_productos_15!$D:$D), "No encontrado")</f>
        <v>PetStyle Litoral</v>
      </c>
      <c r="O108" s="10" t="str">
        <f t="array" ref="O108">IFERROR(_xlfn.XLOOKUP(M108,Maestro_productos_15!$B:$B,Maestro_productos_15!$C:$C), "Sin Categoria")</f>
        <v>Mascotas</v>
      </c>
      <c r="P108" s="11">
        <f t="shared" si="6"/>
        <v>184000</v>
      </c>
      <c r="Q108" s="11">
        <f t="shared" si="7"/>
        <v>110000</v>
      </c>
      <c r="R108" s="11">
        <f t="shared" si="8"/>
        <v>74000</v>
      </c>
      <c r="S108" s="15">
        <f t="shared" si="9"/>
        <v>3680</v>
      </c>
    </row>
    <row r="109" ht="22.5" customHeight="1">
      <c r="A109" s="5" t="s">
        <v>228</v>
      </c>
      <c r="B109" s="8">
        <f t="shared" si="2"/>
        <v>8</v>
      </c>
      <c r="C109" s="6">
        <v>46054.0</v>
      </c>
      <c r="D109" s="5" t="s">
        <v>102</v>
      </c>
      <c r="E109" s="5" t="s">
        <v>106</v>
      </c>
      <c r="F109" s="7" t="s">
        <v>25</v>
      </c>
      <c r="G109" s="8">
        <v>14.0</v>
      </c>
      <c r="H109" s="8">
        <v>19500.0</v>
      </c>
      <c r="I109" s="8">
        <v>12000.0</v>
      </c>
      <c r="J109" s="10" t="str">
        <f t="shared" si="3"/>
        <v>Resistencia</v>
      </c>
      <c r="K109" s="11">
        <f t="shared" si="4"/>
        <v>14</v>
      </c>
      <c r="L109" s="10" t="str">
        <f t="shared" ref="L109:M109" si="115">PROPER(E109)</f>
        <v>Ana Martinez</v>
      </c>
      <c r="M109" s="10" t="str">
        <f t="shared" si="115"/>
        <v>Soporte Regulable Notebook</v>
      </c>
      <c r="N109" s="10" t="str">
        <f t="array" ref="N109">IFERROR(_xlfn.XLOOKUP(M109, Maestro_productos_15!$B:$B, Maestro_productos_15!$D:$D), "No encontrado")</f>
        <v>TechImport S.R.L.</v>
      </c>
      <c r="O109" s="10" t="str">
        <f t="array" ref="O109">IFERROR(_xlfn.XLOOKUP(M109,Maestro_productos_15!$B:$B,Maestro_productos_15!$C:$C), "Sin Categoria")</f>
        <v>Tecnología</v>
      </c>
      <c r="P109" s="11">
        <f t="shared" si="6"/>
        <v>273000</v>
      </c>
      <c r="Q109" s="11">
        <f t="shared" si="7"/>
        <v>168000</v>
      </c>
      <c r="R109" s="11">
        <f t="shared" si="8"/>
        <v>105000</v>
      </c>
      <c r="S109" s="15">
        <f t="shared" si="9"/>
        <v>5460</v>
      </c>
    </row>
    <row r="110" ht="22.5" customHeight="1">
      <c r="A110" s="5" t="s">
        <v>229</v>
      </c>
      <c r="B110" s="8">
        <f t="shared" si="2"/>
        <v>8</v>
      </c>
      <c r="C110" s="6">
        <v>46057.0</v>
      </c>
      <c r="D110" s="5" t="s">
        <v>88</v>
      </c>
      <c r="E110" s="5" t="s">
        <v>106</v>
      </c>
      <c r="F110" s="7" t="s">
        <v>64</v>
      </c>
      <c r="G110" s="8">
        <v>7.0</v>
      </c>
      <c r="H110" s="8">
        <v>6200.0</v>
      </c>
      <c r="I110" s="8">
        <v>3800.0</v>
      </c>
      <c r="J110" s="10" t="str">
        <f t="shared" si="3"/>
        <v>Corrientes</v>
      </c>
      <c r="K110" s="11">
        <f t="shared" si="4"/>
        <v>7</v>
      </c>
      <c r="L110" s="10" t="str">
        <f t="shared" ref="L110:M110" si="116">PROPER(E110)</f>
        <v>Ana Martinez</v>
      </c>
      <c r="M110" s="10" t="str">
        <f t="shared" si="116"/>
        <v>Shampoo Canino Neutro 500Ml</v>
      </c>
      <c r="N110" s="10" t="str">
        <f t="array" ref="N110">IFERROR(_xlfn.XLOOKUP(M110, Maestro_productos_15!$B:$B, Maestro_productos_15!$D:$D), "No encontrado")</f>
        <v>PetStyle Litoral</v>
      </c>
      <c r="O110" s="10" t="str">
        <f t="array" ref="O110">IFERROR(_xlfn.XLOOKUP(M110,Maestro_productos_15!$B:$B,Maestro_productos_15!$C:$C), "Sin Categoria")</f>
        <v>Mascotas</v>
      </c>
      <c r="P110" s="11">
        <f t="shared" si="6"/>
        <v>43400</v>
      </c>
      <c r="Q110" s="11">
        <f t="shared" si="7"/>
        <v>26600</v>
      </c>
      <c r="R110" s="11">
        <f t="shared" si="8"/>
        <v>16800</v>
      </c>
      <c r="S110" s="15">
        <f t="shared" si="9"/>
        <v>868</v>
      </c>
    </row>
    <row r="111" ht="22.5" customHeight="1">
      <c r="A111" s="5" t="s">
        <v>230</v>
      </c>
      <c r="B111" s="8">
        <f t="shared" si="2"/>
        <v>8</v>
      </c>
      <c r="C111" s="6">
        <v>46112.0</v>
      </c>
      <c r="D111" s="5" t="s">
        <v>88</v>
      </c>
      <c r="E111" s="5" t="s">
        <v>115</v>
      </c>
      <c r="F111" s="7" t="s">
        <v>51</v>
      </c>
      <c r="G111" s="8">
        <v>1.0</v>
      </c>
      <c r="H111" s="8">
        <v>8500.0</v>
      </c>
      <c r="I111" s="8">
        <v>4800.0</v>
      </c>
      <c r="J111" s="10" t="str">
        <f t="shared" si="3"/>
        <v>Corrientes</v>
      </c>
      <c r="K111" s="11">
        <f t="shared" si="4"/>
        <v>1</v>
      </c>
      <c r="L111" s="10" t="str">
        <f t="shared" ref="L111:M111" si="117">PROPER(E111)</f>
        <v>Juan Perez</v>
      </c>
      <c r="M111" s="10" t="str">
        <f t="shared" si="117"/>
        <v>Mates De Madera Calada</v>
      </c>
      <c r="N111" s="10" t="str">
        <f t="array" ref="N111">IFERROR(_xlfn.XLOOKUP(M111, Maestro_productos_15!$B:$B, Maestro_productos_15!$D:$D), "No encontrado")</f>
        <v>Artesanías Guaraníes</v>
      </c>
      <c r="O111" s="10" t="str">
        <f t="array" ref="O111">IFERROR(_xlfn.XLOOKUP(M111,Maestro_productos_15!$B:$B,Maestro_productos_15!$C:$C), "Sin Categoria")</f>
        <v>Bazar</v>
      </c>
      <c r="P111" s="11">
        <f t="shared" si="6"/>
        <v>8500</v>
      </c>
      <c r="Q111" s="11">
        <f t="shared" si="7"/>
        <v>4800</v>
      </c>
      <c r="R111" s="11">
        <f t="shared" si="8"/>
        <v>3700</v>
      </c>
      <c r="S111" s="15">
        <f t="shared" si="9"/>
        <v>170</v>
      </c>
    </row>
    <row r="112" ht="22.5" customHeight="1">
      <c r="A112" s="5" t="s">
        <v>231</v>
      </c>
      <c r="B112" s="8">
        <f t="shared" si="2"/>
        <v>8</v>
      </c>
      <c r="C112" s="6">
        <v>46030.0</v>
      </c>
      <c r="D112" s="5" t="s">
        <v>102</v>
      </c>
      <c r="E112" s="5" t="s">
        <v>90</v>
      </c>
      <c r="F112" s="7" t="s">
        <v>232</v>
      </c>
      <c r="G112" s="8">
        <v>15.0</v>
      </c>
      <c r="H112" s="8">
        <v>4800.0</v>
      </c>
      <c r="I112" s="8">
        <v>2700.0</v>
      </c>
      <c r="J112" s="10" t="str">
        <f t="shared" si="3"/>
        <v>Resistencia</v>
      </c>
      <c r="K112" s="11">
        <f t="shared" si="4"/>
        <v>15</v>
      </c>
      <c r="L112" s="10" t="str">
        <f t="shared" ref="L112:M112" si="118">PROPER(E112)</f>
        <v>Ana Martinez</v>
      </c>
      <c r="M112" s="10" t="str">
        <f t="shared" si="118"/>
        <v>Juguete Mordillo Goma</v>
      </c>
      <c r="N112" s="10" t="str">
        <f t="array" ref="N112">IFERROR(_xlfn.XLOOKUP(M112, Maestro_productos_15!$B:$B, Maestro_productos_15!$D:$D), "No encontrado")</f>
        <v>PetStyle Litoral</v>
      </c>
      <c r="O112" s="10" t="str">
        <f t="array" ref="O112">IFERROR(_xlfn.XLOOKUP(M112,Maestro_productos_15!$B:$B,Maestro_productos_15!$C:$C), "Sin Categoria")</f>
        <v>Mascotas</v>
      </c>
      <c r="P112" s="11">
        <f t="shared" si="6"/>
        <v>72000</v>
      </c>
      <c r="Q112" s="11">
        <f t="shared" si="7"/>
        <v>40500</v>
      </c>
      <c r="R112" s="11">
        <f t="shared" si="8"/>
        <v>31500</v>
      </c>
      <c r="S112" s="15">
        <f t="shared" si="9"/>
        <v>1440</v>
      </c>
    </row>
    <row r="113" ht="22.5" customHeight="1">
      <c r="A113" s="5" t="s">
        <v>233</v>
      </c>
      <c r="B113" s="8">
        <f t="shared" si="2"/>
        <v>8</v>
      </c>
      <c r="C113" s="6">
        <v>46064.0</v>
      </c>
      <c r="D113" s="5" t="s">
        <v>103</v>
      </c>
      <c r="E113" s="5" t="s">
        <v>106</v>
      </c>
      <c r="F113" s="7" t="s">
        <v>38</v>
      </c>
      <c r="G113" s="8">
        <v>22.0</v>
      </c>
      <c r="H113" s="8">
        <v>29500.0</v>
      </c>
      <c r="I113" s="8">
        <v>20000.0</v>
      </c>
      <c r="J113" s="10" t="str">
        <f t="shared" si="3"/>
        <v>Formosa</v>
      </c>
      <c r="K113" s="11">
        <f t="shared" si="4"/>
        <v>22</v>
      </c>
      <c r="L113" s="10" t="str">
        <f t="shared" ref="L113:M113" si="119">PROPER(E113)</f>
        <v>Ana Martinez</v>
      </c>
      <c r="M113" s="10" t="str">
        <f t="shared" si="119"/>
        <v>Alimento Gato Castrado 10Kg</v>
      </c>
      <c r="N113" s="10" t="str">
        <f t="array" ref="N113">IFERROR(_xlfn.XLOOKUP(M113, Maestro_productos_15!$B:$B, Maestro_productos_15!$D:$D), "No encontrado")</f>
        <v>NutriDog Arg</v>
      </c>
      <c r="O113" s="10" t="str">
        <f t="array" ref="O113">IFERROR(_xlfn.XLOOKUP(M113,Maestro_productos_15!$B:$B,Maestro_productos_15!$C:$C), "Sin Categoria")</f>
        <v>Mascotas</v>
      </c>
      <c r="P113" s="11">
        <f t="shared" si="6"/>
        <v>649000</v>
      </c>
      <c r="Q113" s="11">
        <f t="shared" si="7"/>
        <v>440000</v>
      </c>
      <c r="R113" s="11">
        <f t="shared" si="8"/>
        <v>209000</v>
      </c>
      <c r="S113" s="15">
        <f t="shared" si="9"/>
        <v>25960</v>
      </c>
    </row>
    <row r="114" ht="22.5" customHeight="1">
      <c r="A114" s="5" t="s">
        <v>234</v>
      </c>
      <c r="B114" s="8">
        <f t="shared" si="2"/>
        <v>8</v>
      </c>
      <c r="C114" s="6">
        <v>46029.0</v>
      </c>
      <c r="D114" s="5" t="s">
        <v>118</v>
      </c>
      <c r="E114" s="5" t="s">
        <v>115</v>
      </c>
      <c r="F114" s="7" t="s">
        <v>101</v>
      </c>
      <c r="G114" s="8">
        <v>5.0</v>
      </c>
      <c r="H114" s="8">
        <v>32000.0</v>
      </c>
      <c r="I114" s="8">
        <v>21000.0</v>
      </c>
      <c r="J114" s="10" t="str">
        <f t="shared" si="3"/>
        <v>Posadas</v>
      </c>
      <c r="K114" s="11">
        <f t="shared" si="4"/>
        <v>5</v>
      </c>
      <c r="L114" s="10" t="str">
        <f t="shared" ref="L114:M114" si="120">PROPER(E114)</f>
        <v>Juan Perez</v>
      </c>
      <c r="M114" s="10" t="str">
        <f t="shared" si="120"/>
        <v>Termo Acero Inoxidable 1.3L</v>
      </c>
      <c r="N114" s="10" t="str">
        <f t="array" ref="N114">IFERROR(_xlfn.XLOOKUP(M114, Maestro_productos_15!$B:$B, Maestro_productos_15!$D:$D), "No encontrado")</f>
        <v>Distribuidora del Nordeste</v>
      </c>
      <c r="O114" s="10" t="str">
        <f t="array" ref="O114">IFERROR(_xlfn.XLOOKUP(M114,Maestro_productos_15!$B:$B,Maestro_productos_15!$C:$C), "Sin Categoria")</f>
        <v>Bazar</v>
      </c>
      <c r="P114" s="11">
        <f t="shared" si="6"/>
        <v>160000</v>
      </c>
      <c r="Q114" s="11">
        <f t="shared" si="7"/>
        <v>105000</v>
      </c>
      <c r="R114" s="11">
        <f t="shared" si="8"/>
        <v>55000</v>
      </c>
      <c r="S114" s="15">
        <f t="shared" si="9"/>
        <v>6400</v>
      </c>
    </row>
    <row r="115" ht="22.5" customHeight="1">
      <c r="A115" s="5" t="s">
        <v>235</v>
      </c>
      <c r="B115" s="8">
        <f t="shared" si="2"/>
        <v>8</v>
      </c>
      <c r="C115" s="6">
        <v>46096.0</v>
      </c>
      <c r="D115" s="5" t="s">
        <v>99</v>
      </c>
      <c r="E115" s="5" t="s">
        <v>90</v>
      </c>
      <c r="F115" s="7" t="s">
        <v>67</v>
      </c>
      <c r="G115" s="8">
        <v>10.0</v>
      </c>
      <c r="H115" s="8">
        <v>3100.0</v>
      </c>
      <c r="I115" s="8">
        <v>1800.0</v>
      </c>
      <c r="J115" s="10" t="str">
        <f t="shared" si="3"/>
        <v>Posadas</v>
      </c>
      <c r="K115" s="11">
        <f t="shared" si="4"/>
        <v>10</v>
      </c>
      <c r="L115" s="10" t="str">
        <f t="shared" ref="L115:M115" si="121">PROPER(E115)</f>
        <v>Ana Martinez</v>
      </c>
      <c r="M115" s="10" t="str">
        <f t="shared" si="121"/>
        <v>Snack Premios Perro 250G</v>
      </c>
      <c r="N115" s="10" t="str">
        <f t="array" ref="N115">IFERROR(_xlfn.XLOOKUP(M115, Maestro_productos_15!$B:$B, Maestro_productos_15!$D:$D), "No encontrado")</f>
        <v>NutriDog Arg</v>
      </c>
      <c r="O115" s="10" t="str">
        <f t="array" ref="O115">IFERROR(_xlfn.XLOOKUP(M115,Maestro_productos_15!$B:$B,Maestro_productos_15!$C:$C), "Sin Categoria")</f>
        <v>Mascotas</v>
      </c>
      <c r="P115" s="11">
        <f t="shared" si="6"/>
        <v>31000</v>
      </c>
      <c r="Q115" s="11">
        <f t="shared" si="7"/>
        <v>18000</v>
      </c>
      <c r="R115" s="11">
        <f t="shared" si="8"/>
        <v>13000</v>
      </c>
      <c r="S115" s="15">
        <f t="shared" si="9"/>
        <v>620</v>
      </c>
    </row>
    <row r="116" ht="22.5" customHeight="1">
      <c r="A116" s="5" t="s">
        <v>236</v>
      </c>
      <c r="B116" s="8">
        <f t="shared" si="2"/>
        <v>8</v>
      </c>
      <c r="C116" s="6">
        <v>46046.0</v>
      </c>
      <c r="D116" s="5" t="s">
        <v>102</v>
      </c>
      <c r="E116" s="5" t="s">
        <v>127</v>
      </c>
      <c r="F116" s="7" t="s">
        <v>226</v>
      </c>
      <c r="G116" s="8">
        <v>15.0</v>
      </c>
      <c r="H116" s="8">
        <v>3100.0</v>
      </c>
      <c r="I116" s="8">
        <v>1800.0</v>
      </c>
      <c r="J116" s="10" t="str">
        <f t="shared" si="3"/>
        <v>Resistencia</v>
      </c>
      <c r="K116" s="11">
        <f t="shared" si="4"/>
        <v>15</v>
      </c>
      <c r="L116" s="10" t="str">
        <f t="shared" ref="L116:M116" si="122">PROPER(E116)</f>
        <v>Carlos Ruiz</v>
      </c>
      <c r="M116" s="10" t="str">
        <f t="shared" si="122"/>
        <v>Snack Premios Perro 250G</v>
      </c>
      <c r="N116" s="10" t="str">
        <f t="array" ref="N116">IFERROR(_xlfn.XLOOKUP(M116, Maestro_productos_15!$B:$B, Maestro_productos_15!$D:$D), "No encontrado")</f>
        <v>NutriDog Arg</v>
      </c>
      <c r="O116" s="10" t="str">
        <f t="array" ref="O116">IFERROR(_xlfn.XLOOKUP(M116,Maestro_productos_15!$B:$B,Maestro_productos_15!$C:$C), "Sin Categoria")</f>
        <v>Mascotas</v>
      </c>
      <c r="P116" s="11">
        <f t="shared" si="6"/>
        <v>46500</v>
      </c>
      <c r="Q116" s="11">
        <f t="shared" si="7"/>
        <v>27000</v>
      </c>
      <c r="R116" s="11">
        <f t="shared" si="8"/>
        <v>19500</v>
      </c>
      <c r="S116" s="15">
        <f t="shared" si="9"/>
        <v>930</v>
      </c>
    </row>
    <row r="117" ht="22.5" customHeight="1">
      <c r="A117" s="5" t="s">
        <v>237</v>
      </c>
      <c r="B117" s="8">
        <f t="shared" si="2"/>
        <v>8</v>
      </c>
      <c r="C117" s="6">
        <v>46084.0</v>
      </c>
      <c r="D117" s="5" t="s">
        <v>118</v>
      </c>
      <c r="E117" s="5" t="s">
        <v>113</v>
      </c>
      <c r="F117" s="7" t="s">
        <v>232</v>
      </c>
      <c r="G117" s="8">
        <v>1.0</v>
      </c>
      <c r="H117" s="8">
        <v>4800.0</v>
      </c>
      <c r="I117" s="8">
        <v>2700.0</v>
      </c>
      <c r="J117" s="10" t="str">
        <f t="shared" si="3"/>
        <v>Posadas</v>
      </c>
      <c r="K117" s="11">
        <f t="shared" si="4"/>
        <v>1</v>
      </c>
      <c r="L117" s="10" t="str">
        <f t="shared" ref="L117:M117" si="123">PROPER(E117)</f>
        <v>Maria Gomez</v>
      </c>
      <c r="M117" s="10" t="str">
        <f t="shared" si="123"/>
        <v>Juguete Mordillo Goma</v>
      </c>
      <c r="N117" s="10" t="str">
        <f t="array" ref="N117">IFERROR(_xlfn.XLOOKUP(M117, Maestro_productos_15!$B:$B, Maestro_productos_15!$D:$D), "No encontrado")</f>
        <v>PetStyle Litoral</v>
      </c>
      <c r="O117" s="10" t="str">
        <f t="array" ref="O117">IFERROR(_xlfn.XLOOKUP(M117,Maestro_productos_15!$B:$B,Maestro_productos_15!$C:$C), "Sin Categoria")</f>
        <v>Mascotas</v>
      </c>
      <c r="P117" s="11">
        <f t="shared" si="6"/>
        <v>4800</v>
      </c>
      <c r="Q117" s="11">
        <f t="shared" si="7"/>
        <v>2700</v>
      </c>
      <c r="R117" s="11">
        <f t="shared" si="8"/>
        <v>2100</v>
      </c>
      <c r="S117" s="15">
        <f t="shared" si="9"/>
        <v>96</v>
      </c>
    </row>
    <row r="118" ht="22.5" customHeight="1">
      <c r="A118" s="5" t="s">
        <v>238</v>
      </c>
      <c r="B118" s="8">
        <f t="shared" si="2"/>
        <v>8</v>
      </c>
      <c r="C118" s="6">
        <v>46046.0</v>
      </c>
      <c r="D118" s="5" t="s">
        <v>99</v>
      </c>
      <c r="E118" s="5" t="s">
        <v>127</v>
      </c>
      <c r="F118" s="7" t="s">
        <v>34</v>
      </c>
      <c r="G118" s="8">
        <v>25.0</v>
      </c>
      <c r="H118" s="8">
        <v>4800.0</v>
      </c>
      <c r="I118" s="8">
        <v>2700.0</v>
      </c>
      <c r="J118" s="10" t="str">
        <f t="shared" si="3"/>
        <v>Posadas</v>
      </c>
      <c r="K118" s="11">
        <f t="shared" si="4"/>
        <v>25</v>
      </c>
      <c r="L118" s="10" t="str">
        <f t="shared" ref="L118:M118" si="124">PROPER(E118)</f>
        <v>Carlos Ruiz</v>
      </c>
      <c r="M118" s="10" t="str">
        <f t="shared" si="124"/>
        <v>Juguete Mordillo Goma</v>
      </c>
      <c r="N118" s="10" t="str">
        <f t="array" ref="N118">IFERROR(_xlfn.XLOOKUP(M118, Maestro_productos_15!$B:$B, Maestro_productos_15!$D:$D), "No encontrado")</f>
        <v>PetStyle Litoral</v>
      </c>
      <c r="O118" s="10" t="str">
        <f t="array" ref="O118">IFERROR(_xlfn.XLOOKUP(M118,Maestro_productos_15!$B:$B,Maestro_productos_15!$C:$C), "Sin Categoria")</f>
        <v>Mascotas</v>
      </c>
      <c r="P118" s="11">
        <f t="shared" si="6"/>
        <v>120000</v>
      </c>
      <c r="Q118" s="11">
        <f t="shared" si="7"/>
        <v>67500</v>
      </c>
      <c r="R118" s="11">
        <f t="shared" si="8"/>
        <v>52500</v>
      </c>
      <c r="S118" s="15">
        <f t="shared" si="9"/>
        <v>2400</v>
      </c>
    </row>
    <row r="119" ht="22.5" customHeight="1">
      <c r="A119" s="5" t="s">
        <v>239</v>
      </c>
      <c r="B119" s="8">
        <f t="shared" si="2"/>
        <v>8</v>
      </c>
      <c r="C119" s="6">
        <v>46026.0</v>
      </c>
      <c r="D119" s="5" t="s">
        <v>108</v>
      </c>
      <c r="E119" s="5" t="s">
        <v>141</v>
      </c>
      <c r="F119" s="7" t="s">
        <v>7</v>
      </c>
      <c r="G119" s="8">
        <v>15.0</v>
      </c>
      <c r="H119" s="8">
        <v>3800.0</v>
      </c>
      <c r="I119" s="8">
        <v>2500.0</v>
      </c>
      <c r="J119" s="10" t="str">
        <f t="shared" si="3"/>
        <v>Corrientes</v>
      </c>
      <c r="K119" s="11">
        <f t="shared" si="4"/>
        <v>15</v>
      </c>
      <c r="L119" s="10" t="str">
        <f t="shared" ref="L119:M119" si="125">PROPER(E119)</f>
        <v>Carlos Ruiz</v>
      </c>
      <c r="M119" s="10" t="str">
        <f t="shared" si="125"/>
        <v>Yerba Mate Premium 1Kg</v>
      </c>
      <c r="N119" s="10" t="str">
        <f t="array" ref="N119">IFERROR(_xlfn.XLOOKUP(M119, Maestro_productos_15!$B:$B, Maestro_productos_15!$D:$D), "No encontrado")</f>
        <v>Cooperativa Neike</v>
      </c>
      <c r="O119" s="10" t="str">
        <f t="array" ref="O119">IFERROR(_xlfn.XLOOKUP(M119,Maestro_productos_15!$B:$B,Maestro_productos_15!$C:$C), "Sin Categoria")</f>
        <v>Alimentos</v>
      </c>
      <c r="P119" s="11">
        <f t="shared" si="6"/>
        <v>57000</v>
      </c>
      <c r="Q119" s="11">
        <f t="shared" si="7"/>
        <v>37500</v>
      </c>
      <c r="R119" s="11">
        <f t="shared" si="8"/>
        <v>19500</v>
      </c>
      <c r="S119" s="15">
        <f t="shared" si="9"/>
        <v>1140</v>
      </c>
    </row>
    <row r="120" ht="22.5" customHeight="1">
      <c r="A120" s="5" t="s">
        <v>240</v>
      </c>
      <c r="B120" s="8">
        <f t="shared" si="2"/>
        <v>8</v>
      </c>
      <c r="C120" s="6">
        <v>46052.0</v>
      </c>
      <c r="D120" s="5" t="s">
        <v>103</v>
      </c>
      <c r="E120" s="5" t="s">
        <v>141</v>
      </c>
      <c r="F120" s="7" t="s">
        <v>42</v>
      </c>
      <c r="G120" s="8">
        <v>16.0</v>
      </c>
      <c r="H120" s="8">
        <v>45000.0</v>
      </c>
      <c r="I120" s="8">
        <v>30000.0</v>
      </c>
      <c r="J120" s="10" t="str">
        <f t="shared" si="3"/>
        <v>Formosa</v>
      </c>
      <c r="K120" s="11">
        <f t="shared" si="4"/>
        <v>16</v>
      </c>
      <c r="L120" s="10" t="str">
        <f t="shared" ref="L120:M120" si="126">PROPER(E120)</f>
        <v>Carlos Ruiz</v>
      </c>
      <c r="M120" s="10" t="str">
        <f t="shared" si="126"/>
        <v>Teclado Mecánico Rgb</v>
      </c>
      <c r="N120" s="10" t="str">
        <f t="array" ref="N120">IFERROR(_xlfn.XLOOKUP(M120, Maestro_productos_15!$B:$B, Maestro_productos_15!$D:$D), "No encontrado")</f>
        <v>TechImport S.R.L.</v>
      </c>
      <c r="O120" s="10" t="str">
        <f t="array" ref="O120">IFERROR(_xlfn.XLOOKUP(M120,Maestro_productos_15!$B:$B,Maestro_productos_15!$C:$C), "Sin Categoria")</f>
        <v>Tecnología</v>
      </c>
      <c r="P120" s="11">
        <f t="shared" si="6"/>
        <v>720000</v>
      </c>
      <c r="Q120" s="11">
        <f t="shared" si="7"/>
        <v>480000</v>
      </c>
      <c r="R120" s="11">
        <f t="shared" si="8"/>
        <v>240000</v>
      </c>
      <c r="S120" s="15">
        <f t="shared" si="9"/>
        <v>28800</v>
      </c>
    </row>
    <row r="121" ht="22.5" customHeight="1">
      <c r="A121" s="5" t="s">
        <v>241</v>
      </c>
      <c r="B121" s="8">
        <f t="shared" si="2"/>
        <v>8</v>
      </c>
      <c r="C121" s="6">
        <v>46074.0</v>
      </c>
      <c r="D121" s="5" t="s">
        <v>108</v>
      </c>
      <c r="E121" s="5" t="s">
        <v>113</v>
      </c>
      <c r="F121" s="7" t="s">
        <v>34</v>
      </c>
      <c r="G121" s="8">
        <v>16.0</v>
      </c>
      <c r="H121" s="8">
        <v>4800.0</v>
      </c>
      <c r="I121" s="8">
        <v>2700.0</v>
      </c>
      <c r="J121" s="10" t="str">
        <f t="shared" si="3"/>
        <v>Corrientes</v>
      </c>
      <c r="K121" s="11">
        <f t="shared" si="4"/>
        <v>16</v>
      </c>
      <c r="L121" s="10" t="str">
        <f t="shared" ref="L121:M121" si="127">PROPER(E121)</f>
        <v>Maria Gomez</v>
      </c>
      <c r="M121" s="10" t="str">
        <f t="shared" si="127"/>
        <v>Juguete Mordillo Goma</v>
      </c>
      <c r="N121" s="10" t="str">
        <f t="array" ref="N121">IFERROR(_xlfn.XLOOKUP(M121, Maestro_productos_15!$B:$B, Maestro_productos_15!$D:$D), "No encontrado")</f>
        <v>PetStyle Litoral</v>
      </c>
      <c r="O121" s="10" t="str">
        <f t="array" ref="O121">IFERROR(_xlfn.XLOOKUP(M121,Maestro_productos_15!$B:$B,Maestro_productos_15!$C:$C), "Sin Categoria")</f>
        <v>Mascotas</v>
      </c>
      <c r="P121" s="11">
        <f t="shared" si="6"/>
        <v>76800</v>
      </c>
      <c r="Q121" s="11">
        <f t="shared" si="7"/>
        <v>43200</v>
      </c>
      <c r="R121" s="11">
        <f t="shared" si="8"/>
        <v>33600</v>
      </c>
      <c r="S121" s="15">
        <f t="shared" si="9"/>
        <v>1536</v>
      </c>
    </row>
    <row r="122" ht="22.5" customHeight="1">
      <c r="A122" s="5" t="s">
        <v>242</v>
      </c>
      <c r="B122" s="8">
        <f t="shared" si="2"/>
        <v>8</v>
      </c>
      <c r="C122" s="6">
        <v>46074.0</v>
      </c>
      <c r="D122" s="5" t="s">
        <v>133</v>
      </c>
      <c r="E122" s="5" t="s">
        <v>100</v>
      </c>
      <c r="F122" s="7" t="s">
        <v>156</v>
      </c>
      <c r="G122" s="8">
        <v>11.0</v>
      </c>
      <c r="H122" s="8">
        <v>6200.0</v>
      </c>
      <c r="I122" s="8">
        <v>3800.0</v>
      </c>
      <c r="J122" s="10" t="str">
        <f t="shared" si="3"/>
        <v>Resistencia</v>
      </c>
      <c r="K122" s="11">
        <f t="shared" si="4"/>
        <v>11</v>
      </c>
      <c r="L122" s="10" t="str">
        <f t="shared" ref="L122:M122" si="128">PROPER(E122)</f>
        <v>Juan Perez</v>
      </c>
      <c r="M122" s="10" t="str">
        <f t="shared" si="128"/>
        <v>Shampoo Canino Neutro 500Ml</v>
      </c>
      <c r="N122" s="10" t="str">
        <f t="array" ref="N122">IFERROR(_xlfn.XLOOKUP(M122, Maestro_productos_15!$B:$B, Maestro_productos_15!$D:$D), "No encontrado")</f>
        <v>PetStyle Litoral</v>
      </c>
      <c r="O122" s="10" t="str">
        <f t="array" ref="O122">IFERROR(_xlfn.XLOOKUP(M122,Maestro_productos_15!$B:$B,Maestro_productos_15!$C:$C), "Sin Categoria")</f>
        <v>Mascotas</v>
      </c>
      <c r="P122" s="11">
        <f t="shared" si="6"/>
        <v>68200</v>
      </c>
      <c r="Q122" s="11">
        <f t="shared" si="7"/>
        <v>41800</v>
      </c>
      <c r="R122" s="11">
        <f t="shared" si="8"/>
        <v>26400</v>
      </c>
      <c r="S122" s="15">
        <f t="shared" si="9"/>
        <v>1364</v>
      </c>
    </row>
    <row r="123" ht="22.5" customHeight="1">
      <c r="A123" s="5" t="s">
        <v>243</v>
      </c>
      <c r="B123" s="8">
        <f t="shared" si="2"/>
        <v>8</v>
      </c>
      <c r="C123" s="6">
        <v>46075.0</v>
      </c>
      <c r="D123" s="5" t="s">
        <v>99</v>
      </c>
      <c r="E123" s="5" t="s">
        <v>106</v>
      </c>
      <c r="F123" s="7" t="s">
        <v>71</v>
      </c>
      <c r="G123" s="8">
        <v>22.0</v>
      </c>
      <c r="H123" s="8">
        <v>22000.0</v>
      </c>
      <c r="I123" s="8">
        <v>14000.0</v>
      </c>
      <c r="J123" s="10" t="str">
        <f t="shared" si="3"/>
        <v>Posadas</v>
      </c>
      <c r="K123" s="11">
        <f t="shared" si="4"/>
        <v>22</v>
      </c>
      <c r="L123" s="10" t="str">
        <f t="shared" ref="L123:M123" si="129">PROPER(E123)</f>
        <v>Ana Martinez</v>
      </c>
      <c r="M123" s="10" t="str">
        <f t="shared" si="129"/>
        <v>Cargador Rápido Usb-C 65W</v>
      </c>
      <c r="N123" s="10" t="str">
        <f t="array" ref="N123">IFERROR(_xlfn.XLOOKUP(M123, Maestro_productos_15!$B:$B, Maestro_productos_15!$D:$D), "No encontrado")</f>
        <v>TechImport S.R.L.</v>
      </c>
      <c r="O123" s="10" t="str">
        <f t="array" ref="O123">IFERROR(_xlfn.XLOOKUP(M123,Maestro_productos_15!$B:$B,Maestro_productos_15!$C:$C), "Sin Categoria")</f>
        <v>Tecnología</v>
      </c>
      <c r="P123" s="11">
        <f t="shared" si="6"/>
        <v>484000</v>
      </c>
      <c r="Q123" s="11">
        <f t="shared" si="7"/>
        <v>308000</v>
      </c>
      <c r="R123" s="11">
        <f t="shared" si="8"/>
        <v>176000</v>
      </c>
      <c r="S123" s="15">
        <f t="shared" si="9"/>
        <v>9680</v>
      </c>
    </row>
    <row r="124" ht="22.5" customHeight="1">
      <c r="A124" s="5" t="s">
        <v>244</v>
      </c>
      <c r="B124" s="8">
        <f t="shared" si="2"/>
        <v>8</v>
      </c>
      <c r="C124" s="6">
        <v>46028.0</v>
      </c>
      <c r="D124" s="5" t="s">
        <v>102</v>
      </c>
      <c r="E124" s="5" t="s">
        <v>127</v>
      </c>
      <c r="F124" s="7" t="s">
        <v>51</v>
      </c>
      <c r="G124" s="8">
        <v>21.0</v>
      </c>
      <c r="H124" s="8">
        <v>8500.0</v>
      </c>
      <c r="I124" s="8">
        <v>4800.0</v>
      </c>
      <c r="J124" s="10" t="str">
        <f t="shared" si="3"/>
        <v>Resistencia</v>
      </c>
      <c r="K124" s="11">
        <f t="shared" si="4"/>
        <v>21</v>
      </c>
      <c r="L124" s="10" t="str">
        <f t="shared" ref="L124:M124" si="130">PROPER(E124)</f>
        <v>Carlos Ruiz</v>
      </c>
      <c r="M124" s="10" t="str">
        <f t="shared" si="130"/>
        <v>Mates De Madera Calada</v>
      </c>
      <c r="N124" s="10" t="str">
        <f t="array" ref="N124">IFERROR(_xlfn.XLOOKUP(M124, Maestro_productos_15!$B:$B, Maestro_productos_15!$D:$D), "No encontrado")</f>
        <v>Artesanías Guaraníes</v>
      </c>
      <c r="O124" s="10" t="str">
        <f t="array" ref="O124">IFERROR(_xlfn.XLOOKUP(M124,Maestro_productos_15!$B:$B,Maestro_productos_15!$C:$C), "Sin Categoria")</f>
        <v>Bazar</v>
      </c>
      <c r="P124" s="11">
        <f t="shared" si="6"/>
        <v>178500</v>
      </c>
      <c r="Q124" s="11">
        <f t="shared" si="7"/>
        <v>100800</v>
      </c>
      <c r="R124" s="11">
        <f t="shared" si="8"/>
        <v>77700</v>
      </c>
      <c r="S124" s="15">
        <f t="shared" si="9"/>
        <v>3570</v>
      </c>
    </row>
    <row r="125" ht="22.5" customHeight="1">
      <c r="A125" s="5" t="s">
        <v>245</v>
      </c>
      <c r="B125" s="8">
        <f t="shared" si="2"/>
        <v>8</v>
      </c>
      <c r="C125" s="6">
        <v>46088.0</v>
      </c>
      <c r="D125" s="5" t="s">
        <v>102</v>
      </c>
      <c r="E125" s="5" t="s">
        <v>141</v>
      </c>
      <c r="F125" s="7" t="s">
        <v>110</v>
      </c>
      <c r="G125" s="8">
        <v>16.0</v>
      </c>
      <c r="H125" s="8">
        <v>9200.0</v>
      </c>
      <c r="I125" s="8">
        <v>5500.0</v>
      </c>
      <c r="J125" s="10" t="str">
        <f t="shared" si="3"/>
        <v>Resistencia</v>
      </c>
      <c r="K125" s="11">
        <f t="shared" si="4"/>
        <v>16</v>
      </c>
      <c r="L125" s="10" t="str">
        <f t="shared" ref="L125:M125" si="131">PROPER(E125)</f>
        <v>Carlos Ruiz</v>
      </c>
      <c r="M125" s="10" t="str">
        <f t="shared" si="131"/>
        <v>Correa Reforzada Canina 3M</v>
      </c>
      <c r="N125" s="10" t="str">
        <f t="array" ref="N125">IFERROR(_xlfn.XLOOKUP(M125, Maestro_productos_15!$B:$B, Maestro_productos_15!$D:$D), "No encontrado")</f>
        <v>PetStyle Litoral</v>
      </c>
      <c r="O125" s="10" t="str">
        <f t="array" ref="O125">IFERROR(_xlfn.XLOOKUP(M125,Maestro_productos_15!$B:$B,Maestro_productos_15!$C:$C), "Sin Categoria")</f>
        <v>Mascotas</v>
      </c>
      <c r="P125" s="11">
        <f t="shared" si="6"/>
        <v>147200</v>
      </c>
      <c r="Q125" s="11">
        <f t="shared" si="7"/>
        <v>88000</v>
      </c>
      <c r="R125" s="11">
        <f t="shared" si="8"/>
        <v>59200</v>
      </c>
      <c r="S125" s="15">
        <f t="shared" si="9"/>
        <v>2944</v>
      </c>
    </row>
    <row r="126" ht="22.5" customHeight="1">
      <c r="A126" s="5" t="s">
        <v>246</v>
      </c>
      <c r="B126" s="8">
        <f t="shared" si="2"/>
        <v>8</v>
      </c>
      <c r="C126" s="6">
        <v>46023.0</v>
      </c>
      <c r="D126" s="5" t="s">
        <v>108</v>
      </c>
      <c r="E126" s="5" t="s">
        <v>90</v>
      </c>
      <c r="F126" s="7" t="s">
        <v>130</v>
      </c>
      <c r="G126" s="8">
        <v>18.0</v>
      </c>
      <c r="H126" s="8">
        <v>15000.0</v>
      </c>
      <c r="I126" s="8">
        <v>9500.0</v>
      </c>
      <c r="J126" s="10" t="str">
        <f t="shared" si="3"/>
        <v>Corrientes</v>
      </c>
      <c r="K126" s="11">
        <f t="shared" si="4"/>
        <v>18</v>
      </c>
      <c r="L126" s="10" t="str">
        <f t="shared" ref="L126:M126" si="132">PROPER(E126)</f>
        <v>Ana Martinez</v>
      </c>
      <c r="M126" s="10" t="str">
        <f t="shared" si="132"/>
        <v>Mouse Inalámbrico Ergonómico</v>
      </c>
      <c r="N126" s="10" t="str">
        <f t="array" ref="N126">IFERROR(_xlfn.XLOOKUP(M126, Maestro_productos_15!$B:$B, Maestro_productos_15!$D:$D), "No encontrado")</f>
        <v>TechImport S.R.L.</v>
      </c>
      <c r="O126" s="10" t="str">
        <f t="array" ref="O126">IFERROR(_xlfn.XLOOKUP(M126,Maestro_productos_15!$B:$B,Maestro_productos_15!$C:$C), "Sin Categoria")</f>
        <v>Tecnología</v>
      </c>
      <c r="P126" s="11">
        <f t="shared" si="6"/>
        <v>270000</v>
      </c>
      <c r="Q126" s="11">
        <f t="shared" si="7"/>
        <v>171000</v>
      </c>
      <c r="R126" s="11">
        <f t="shared" si="8"/>
        <v>99000</v>
      </c>
      <c r="S126" s="15">
        <f t="shared" si="9"/>
        <v>5400</v>
      </c>
    </row>
    <row r="127" ht="22.5" customHeight="1">
      <c r="A127" s="5" t="s">
        <v>247</v>
      </c>
      <c r="B127" s="8">
        <f t="shared" si="2"/>
        <v>8</v>
      </c>
      <c r="C127" s="6">
        <v>46049.0</v>
      </c>
      <c r="D127" s="5" t="s">
        <v>103</v>
      </c>
      <c r="E127" s="5" t="s">
        <v>100</v>
      </c>
      <c r="F127" s="7" t="s">
        <v>60</v>
      </c>
      <c r="G127" s="8">
        <v>4.0</v>
      </c>
      <c r="H127" s="8">
        <v>15000.0</v>
      </c>
      <c r="I127" s="8">
        <v>9500.0</v>
      </c>
      <c r="J127" s="10" t="str">
        <f t="shared" si="3"/>
        <v>Formosa</v>
      </c>
      <c r="K127" s="11">
        <f t="shared" si="4"/>
        <v>4</v>
      </c>
      <c r="L127" s="10" t="str">
        <f t="shared" ref="L127:M127" si="133">PROPER(E127)</f>
        <v>Juan Perez</v>
      </c>
      <c r="M127" s="10" t="str">
        <f t="shared" si="133"/>
        <v>Mouse Inalámbrico Ergonómico</v>
      </c>
      <c r="N127" s="10" t="str">
        <f t="array" ref="N127">IFERROR(_xlfn.XLOOKUP(M127, Maestro_productos_15!$B:$B, Maestro_productos_15!$D:$D), "No encontrado")</f>
        <v>TechImport S.R.L.</v>
      </c>
      <c r="O127" s="10" t="str">
        <f t="array" ref="O127">IFERROR(_xlfn.XLOOKUP(M127,Maestro_productos_15!$B:$B,Maestro_productos_15!$C:$C), "Sin Categoria")</f>
        <v>Tecnología</v>
      </c>
      <c r="P127" s="11">
        <f t="shared" si="6"/>
        <v>60000</v>
      </c>
      <c r="Q127" s="11">
        <f t="shared" si="7"/>
        <v>38000</v>
      </c>
      <c r="R127" s="11">
        <f t="shared" si="8"/>
        <v>22000</v>
      </c>
      <c r="S127" s="15">
        <f t="shared" si="9"/>
        <v>1200</v>
      </c>
    </row>
    <row r="128" ht="22.5" customHeight="1">
      <c r="A128" s="5" t="s">
        <v>248</v>
      </c>
      <c r="B128" s="8">
        <f t="shared" si="2"/>
        <v>8</v>
      </c>
      <c r="C128" s="6">
        <v>46101.0</v>
      </c>
      <c r="D128" s="5" t="s">
        <v>118</v>
      </c>
      <c r="E128" s="5" t="s">
        <v>113</v>
      </c>
      <c r="F128" s="7" t="s">
        <v>25</v>
      </c>
      <c r="G128" s="8">
        <v>16.0</v>
      </c>
      <c r="H128" s="8">
        <v>19500.0</v>
      </c>
      <c r="I128" s="8">
        <v>12000.0</v>
      </c>
      <c r="J128" s="10" t="str">
        <f t="shared" si="3"/>
        <v>Posadas</v>
      </c>
      <c r="K128" s="11">
        <f t="shared" si="4"/>
        <v>16</v>
      </c>
      <c r="L128" s="10" t="str">
        <f t="shared" ref="L128:M128" si="134">PROPER(E128)</f>
        <v>Maria Gomez</v>
      </c>
      <c r="M128" s="10" t="str">
        <f t="shared" si="134"/>
        <v>Soporte Regulable Notebook</v>
      </c>
      <c r="N128" s="10" t="str">
        <f t="array" ref="N128">IFERROR(_xlfn.XLOOKUP(M128, Maestro_productos_15!$B:$B, Maestro_productos_15!$D:$D), "No encontrado")</f>
        <v>TechImport S.R.L.</v>
      </c>
      <c r="O128" s="10" t="str">
        <f t="array" ref="O128">IFERROR(_xlfn.XLOOKUP(M128,Maestro_productos_15!$B:$B,Maestro_productos_15!$C:$C), "Sin Categoria")</f>
        <v>Tecnología</v>
      </c>
      <c r="P128" s="11">
        <f t="shared" si="6"/>
        <v>312000</v>
      </c>
      <c r="Q128" s="11">
        <f t="shared" si="7"/>
        <v>192000</v>
      </c>
      <c r="R128" s="11">
        <f t="shared" si="8"/>
        <v>120000</v>
      </c>
      <c r="S128" s="15">
        <f t="shared" si="9"/>
        <v>6240</v>
      </c>
    </row>
    <row r="129" ht="22.5" customHeight="1">
      <c r="A129" s="5" t="s">
        <v>249</v>
      </c>
      <c r="B129" s="8">
        <f t="shared" si="2"/>
        <v>8</v>
      </c>
      <c r="C129" s="6">
        <v>46110.0</v>
      </c>
      <c r="D129" s="5" t="s">
        <v>108</v>
      </c>
      <c r="E129" s="5" t="s">
        <v>127</v>
      </c>
      <c r="F129" s="7" t="s">
        <v>13</v>
      </c>
      <c r="G129" s="8">
        <v>5.0</v>
      </c>
      <c r="H129" s="8">
        <v>35000.0</v>
      </c>
      <c r="I129" s="8">
        <v>24000.0</v>
      </c>
      <c r="J129" s="10" t="str">
        <f t="shared" si="3"/>
        <v>Corrientes</v>
      </c>
      <c r="K129" s="11">
        <f t="shared" si="4"/>
        <v>5</v>
      </c>
      <c r="L129" s="10" t="str">
        <f t="shared" ref="L129:M129" si="135">PROPER(E129)</f>
        <v>Carlos Ruiz</v>
      </c>
      <c r="M129" s="10" t="str">
        <f t="shared" si="135"/>
        <v>Alimento Perro Adulto 15Kg</v>
      </c>
      <c r="N129" s="10" t="str">
        <f t="array" ref="N129">IFERROR(_xlfn.XLOOKUP(M129, Maestro_productos_15!$B:$B, Maestro_productos_15!$D:$D), "No encontrado")</f>
        <v>NutriDog Arg</v>
      </c>
      <c r="O129" s="10" t="str">
        <f t="array" ref="O129">IFERROR(_xlfn.XLOOKUP(M129,Maestro_productos_15!$B:$B,Maestro_productos_15!$C:$C), "Sin Categoria")</f>
        <v>Mascotas</v>
      </c>
      <c r="P129" s="11">
        <f t="shared" si="6"/>
        <v>175000</v>
      </c>
      <c r="Q129" s="11">
        <f t="shared" si="7"/>
        <v>120000</v>
      </c>
      <c r="R129" s="11">
        <f t="shared" si="8"/>
        <v>55000</v>
      </c>
      <c r="S129" s="15">
        <f t="shared" si="9"/>
        <v>10500</v>
      </c>
    </row>
    <row r="130" ht="22.5" customHeight="1">
      <c r="A130" s="5" t="s">
        <v>250</v>
      </c>
      <c r="B130" s="8">
        <f t="shared" si="2"/>
        <v>8</v>
      </c>
      <c r="C130" s="6">
        <v>46045.0</v>
      </c>
      <c r="D130" s="5" t="s">
        <v>103</v>
      </c>
      <c r="E130" s="5" t="s">
        <v>127</v>
      </c>
      <c r="F130" s="7" t="s">
        <v>71</v>
      </c>
      <c r="G130" s="8">
        <v>1.0</v>
      </c>
      <c r="H130" s="8">
        <v>22000.0</v>
      </c>
      <c r="I130" s="8">
        <v>14000.0</v>
      </c>
      <c r="J130" s="10" t="str">
        <f t="shared" si="3"/>
        <v>Formosa</v>
      </c>
      <c r="K130" s="11">
        <f t="shared" si="4"/>
        <v>1</v>
      </c>
      <c r="L130" s="10" t="str">
        <f t="shared" ref="L130:M130" si="136">PROPER(E130)</f>
        <v>Carlos Ruiz</v>
      </c>
      <c r="M130" s="10" t="str">
        <f t="shared" si="136"/>
        <v>Cargador Rápido Usb-C 65W</v>
      </c>
      <c r="N130" s="10" t="str">
        <f t="array" ref="N130">IFERROR(_xlfn.XLOOKUP(M130, Maestro_productos_15!$B:$B, Maestro_productos_15!$D:$D), "No encontrado")</f>
        <v>TechImport S.R.L.</v>
      </c>
      <c r="O130" s="10" t="str">
        <f t="array" ref="O130">IFERROR(_xlfn.XLOOKUP(M130,Maestro_productos_15!$B:$B,Maestro_productos_15!$C:$C), "Sin Categoria")</f>
        <v>Tecnología</v>
      </c>
      <c r="P130" s="11">
        <f t="shared" si="6"/>
        <v>22000</v>
      </c>
      <c r="Q130" s="11">
        <f t="shared" si="7"/>
        <v>14000</v>
      </c>
      <c r="R130" s="11">
        <f t="shared" si="8"/>
        <v>8000</v>
      </c>
      <c r="S130" s="15">
        <f t="shared" si="9"/>
        <v>440</v>
      </c>
    </row>
    <row r="131" ht="22.5" customHeight="1">
      <c r="A131" s="5" t="s">
        <v>251</v>
      </c>
      <c r="B131" s="8">
        <f t="shared" si="2"/>
        <v>8</v>
      </c>
      <c r="C131" s="6">
        <v>46101.0</v>
      </c>
      <c r="D131" s="5" t="s">
        <v>118</v>
      </c>
      <c r="E131" s="5" t="s">
        <v>141</v>
      </c>
      <c r="F131" s="7" t="s">
        <v>67</v>
      </c>
      <c r="G131" s="8">
        <v>15.0</v>
      </c>
      <c r="H131" s="8">
        <v>3100.0</v>
      </c>
      <c r="I131" s="8">
        <v>1800.0</v>
      </c>
      <c r="J131" s="10" t="str">
        <f t="shared" si="3"/>
        <v>Posadas</v>
      </c>
      <c r="K131" s="11">
        <f t="shared" si="4"/>
        <v>15</v>
      </c>
      <c r="L131" s="10" t="str">
        <f t="shared" ref="L131:M131" si="137">PROPER(E131)</f>
        <v>Carlos Ruiz</v>
      </c>
      <c r="M131" s="10" t="str">
        <f t="shared" si="137"/>
        <v>Snack Premios Perro 250G</v>
      </c>
      <c r="N131" s="10" t="str">
        <f t="array" ref="N131">IFERROR(_xlfn.XLOOKUP(M131, Maestro_productos_15!$B:$B, Maestro_productos_15!$D:$D), "No encontrado")</f>
        <v>NutriDog Arg</v>
      </c>
      <c r="O131" s="10" t="str">
        <f t="array" ref="O131">IFERROR(_xlfn.XLOOKUP(M131,Maestro_productos_15!$B:$B,Maestro_productos_15!$C:$C), "Sin Categoria")</f>
        <v>Mascotas</v>
      </c>
      <c r="P131" s="11">
        <f t="shared" si="6"/>
        <v>46500</v>
      </c>
      <c r="Q131" s="11">
        <f t="shared" si="7"/>
        <v>27000</v>
      </c>
      <c r="R131" s="11">
        <f t="shared" si="8"/>
        <v>19500</v>
      </c>
      <c r="S131" s="15">
        <f t="shared" si="9"/>
        <v>930</v>
      </c>
    </row>
    <row r="132" ht="22.5" customHeight="1">
      <c r="A132" s="5" t="s">
        <v>252</v>
      </c>
      <c r="B132" s="8">
        <f t="shared" si="2"/>
        <v>8</v>
      </c>
      <c r="C132" s="6">
        <v>46067.0</v>
      </c>
      <c r="D132" s="5" t="s">
        <v>133</v>
      </c>
      <c r="E132" s="5" t="s">
        <v>141</v>
      </c>
      <c r="F132" s="7" t="s">
        <v>29</v>
      </c>
      <c r="G132" s="8">
        <v>7.0</v>
      </c>
      <c r="H132" s="8">
        <v>9200.0</v>
      </c>
      <c r="I132" s="8">
        <v>5500.0</v>
      </c>
      <c r="J132" s="10" t="str">
        <f t="shared" si="3"/>
        <v>Resistencia</v>
      </c>
      <c r="K132" s="11">
        <f t="shared" si="4"/>
        <v>7</v>
      </c>
      <c r="L132" s="10" t="str">
        <f t="shared" ref="L132:M132" si="138">PROPER(E132)</f>
        <v>Carlos Ruiz</v>
      </c>
      <c r="M132" s="10" t="str">
        <f t="shared" si="138"/>
        <v>Correa Reforzada Canina 3M</v>
      </c>
      <c r="N132" s="10" t="str">
        <f t="array" ref="N132">IFERROR(_xlfn.XLOOKUP(M132, Maestro_productos_15!$B:$B, Maestro_productos_15!$D:$D), "No encontrado")</f>
        <v>PetStyle Litoral</v>
      </c>
      <c r="O132" s="10" t="str">
        <f t="array" ref="O132">IFERROR(_xlfn.XLOOKUP(M132,Maestro_productos_15!$B:$B,Maestro_productos_15!$C:$C), "Sin Categoria")</f>
        <v>Mascotas</v>
      </c>
      <c r="P132" s="11">
        <f t="shared" si="6"/>
        <v>64400</v>
      </c>
      <c r="Q132" s="11">
        <f t="shared" si="7"/>
        <v>38500</v>
      </c>
      <c r="R132" s="11">
        <f t="shared" si="8"/>
        <v>25900</v>
      </c>
      <c r="S132" s="15">
        <f t="shared" si="9"/>
        <v>1288</v>
      </c>
    </row>
    <row r="133" ht="22.5" customHeight="1">
      <c r="A133" s="5" t="s">
        <v>253</v>
      </c>
      <c r="B133" s="8">
        <f t="shared" si="2"/>
        <v>8</v>
      </c>
      <c r="C133" s="6">
        <v>46037.0</v>
      </c>
      <c r="D133" s="5" t="s">
        <v>103</v>
      </c>
      <c r="E133" s="5" t="s">
        <v>141</v>
      </c>
      <c r="F133" s="7" t="s">
        <v>29</v>
      </c>
      <c r="G133" s="8">
        <v>24.0</v>
      </c>
      <c r="H133" s="8">
        <v>9200.0</v>
      </c>
      <c r="I133" s="8">
        <v>5500.0</v>
      </c>
      <c r="J133" s="10" t="str">
        <f t="shared" si="3"/>
        <v>Formosa</v>
      </c>
      <c r="K133" s="11">
        <f t="shared" si="4"/>
        <v>24</v>
      </c>
      <c r="L133" s="10" t="str">
        <f t="shared" ref="L133:M133" si="139">PROPER(E133)</f>
        <v>Carlos Ruiz</v>
      </c>
      <c r="M133" s="10" t="str">
        <f t="shared" si="139"/>
        <v>Correa Reforzada Canina 3M</v>
      </c>
      <c r="N133" s="10" t="str">
        <f t="array" ref="N133">IFERROR(_xlfn.XLOOKUP(M133, Maestro_productos_15!$B:$B, Maestro_productos_15!$D:$D), "No encontrado")</f>
        <v>PetStyle Litoral</v>
      </c>
      <c r="O133" s="10" t="str">
        <f t="array" ref="O133">IFERROR(_xlfn.XLOOKUP(M133,Maestro_productos_15!$B:$B,Maestro_productos_15!$C:$C), "Sin Categoria")</f>
        <v>Mascotas</v>
      </c>
      <c r="P133" s="11">
        <f t="shared" si="6"/>
        <v>220800</v>
      </c>
      <c r="Q133" s="11">
        <f t="shared" si="7"/>
        <v>132000</v>
      </c>
      <c r="R133" s="11">
        <f t="shared" si="8"/>
        <v>88800</v>
      </c>
      <c r="S133" s="15">
        <f t="shared" si="9"/>
        <v>4416</v>
      </c>
    </row>
    <row r="134" ht="22.5" customHeight="1">
      <c r="A134" s="5" t="s">
        <v>254</v>
      </c>
      <c r="B134" s="8">
        <f t="shared" si="2"/>
        <v>8</v>
      </c>
      <c r="C134" s="6">
        <v>46066.0</v>
      </c>
      <c r="D134" s="5" t="s">
        <v>118</v>
      </c>
      <c r="E134" s="5" t="s">
        <v>106</v>
      </c>
      <c r="F134" s="7" t="s">
        <v>42</v>
      </c>
      <c r="G134" s="8">
        <v>5.0</v>
      </c>
      <c r="H134" s="8">
        <v>45000.0</v>
      </c>
      <c r="I134" s="8">
        <v>30000.0</v>
      </c>
      <c r="J134" s="10" t="str">
        <f t="shared" si="3"/>
        <v>Posadas</v>
      </c>
      <c r="K134" s="11">
        <f t="shared" si="4"/>
        <v>5</v>
      </c>
      <c r="L134" s="10" t="str">
        <f t="shared" ref="L134:M134" si="140">PROPER(E134)</f>
        <v>Ana Martinez</v>
      </c>
      <c r="M134" s="10" t="str">
        <f t="shared" si="140"/>
        <v>Teclado Mecánico Rgb</v>
      </c>
      <c r="N134" s="10" t="str">
        <f t="array" ref="N134">IFERROR(_xlfn.XLOOKUP(M134, Maestro_productos_15!$B:$B, Maestro_productos_15!$D:$D), "No encontrado")</f>
        <v>TechImport S.R.L.</v>
      </c>
      <c r="O134" s="10" t="str">
        <f t="array" ref="O134">IFERROR(_xlfn.XLOOKUP(M134,Maestro_productos_15!$B:$B,Maestro_productos_15!$C:$C), "Sin Categoria")</f>
        <v>Tecnología</v>
      </c>
      <c r="P134" s="11">
        <f t="shared" si="6"/>
        <v>225000</v>
      </c>
      <c r="Q134" s="11">
        <f t="shared" si="7"/>
        <v>150000</v>
      </c>
      <c r="R134" s="11">
        <f t="shared" si="8"/>
        <v>75000</v>
      </c>
      <c r="S134" s="15">
        <f t="shared" si="9"/>
        <v>9000</v>
      </c>
    </row>
    <row r="135" ht="22.5" customHeight="1">
      <c r="A135" s="5" t="s">
        <v>255</v>
      </c>
      <c r="B135" s="8">
        <f t="shared" si="2"/>
        <v>8</v>
      </c>
      <c r="C135" s="6">
        <v>46050.0</v>
      </c>
      <c r="D135" s="5" t="s">
        <v>102</v>
      </c>
      <c r="E135" s="5" t="s">
        <v>106</v>
      </c>
      <c r="F135" s="7" t="s">
        <v>171</v>
      </c>
      <c r="G135" s="8">
        <v>15.0</v>
      </c>
      <c r="H135" s="8">
        <v>18500.0</v>
      </c>
      <c r="I135" s="8">
        <v>12500.0</v>
      </c>
      <c r="J135" s="10" t="str">
        <f t="shared" si="3"/>
        <v>Resistencia</v>
      </c>
      <c r="K135" s="11">
        <f t="shared" si="4"/>
        <v>15</v>
      </c>
      <c r="L135" s="10" t="str">
        <f t="shared" ref="L135:M135" si="141">PROPER(E135)</f>
        <v>Ana Martinez</v>
      </c>
      <c r="M135" s="10" t="str">
        <f t="shared" si="141"/>
        <v>Café En Grano Intenso 1Kg</v>
      </c>
      <c r="N135" s="10" t="str">
        <f t="array" ref="N135">IFERROR(_xlfn.XLOOKUP(M135, Maestro_productos_15!$B:$B, Maestro_productos_15!$D:$D), "No encontrado")</f>
        <v>Distribuidora del Nordeste</v>
      </c>
      <c r="O135" s="10" t="str">
        <f t="array" ref="O135">IFERROR(_xlfn.XLOOKUP(M135,Maestro_productos_15!$B:$B,Maestro_productos_15!$C:$C), "Sin Categoria")</f>
        <v>Alimentos</v>
      </c>
      <c r="P135" s="11">
        <f t="shared" si="6"/>
        <v>277500</v>
      </c>
      <c r="Q135" s="11">
        <f t="shared" si="7"/>
        <v>187500</v>
      </c>
      <c r="R135" s="11">
        <f t="shared" si="8"/>
        <v>90000</v>
      </c>
      <c r="S135" s="15">
        <f t="shared" si="9"/>
        <v>5550</v>
      </c>
    </row>
    <row r="136" ht="22.5" customHeight="1">
      <c r="A136" s="5" t="s">
        <v>256</v>
      </c>
      <c r="B136" s="8">
        <f t="shared" si="2"/>
        <v>8</v>
      </c>
      <c r="C136" s="6">
        <v>46024.0</v>
      </c>
      <c r="D136" s="5" t="s">
        <v>108</v>
      </c>
      <c r="E136" s="5" t="s">
        <v>141</v>
      </c>
      <c r="F136" s="7" t="s">
        <v>257</v>
      </c>
      <c r="G136" s="8">
        <v>5.0</v>
      </c>
      <c r="H136" s="8">
        <v>19500.0</v>
      </c>
      <c r="I136" s="8">
        <v>12000.0</v>
      </c>
      <c r="J136" s="10" t="str">
        <f t="shared" si="3"/>
        <v>Corrientes</v>
      </c>
      <c r="K136" s="11">
        <f t="shared" si="4"/>
        <v>5</v>
      </c>
      <c r="L136" s="10" t="str">
        <f t="shared" ref="L136:M136" si="142">PROPER(E136)</f>
        <v>Carlos Ruiz</v>
      </c>
      <c r="M136" s="10" t="str">
        <f t="shared" si="142"/>
        <v>Soporte Regulable Notebook</v>
      </c>
      <c r="N136" s="10" t="str">
        <f t="array" ref="N136">IFERROR(_xlfn.XLOOKUP(M136, Maestro_productos_15!$B:$B, Maestro_productos_15!$D:$D), "No encontrado")</f>
        <v>TechImport S.R.L.</v>
      </c>
      <c r="O136" s="10" t="str">
        <f t="array" ref="O136">IFERROR(_xlfn.XLOOKUP(M136,Maestro_productos_15!$B:$B,Maestro_productos_15!$C:$C), "Sin Categoria")</f>
        <v>Tecnología</v>
      </c>
      <c r="P136" s="11">
        <f t="shared" si="6"/>
        <v>97500</v>
      </c>
      <c r="Q136" s="11">
        <f t="shared" si="7"/>
        <v>60000</v>
      </c>
      <c r="R136" s="11">
        <f t="shared" si="8"/>
        <v>37500</v>
      </c>
      <c r="S136" s="15">
        <f t="shared" si="9"/>
        <v>1950</v>
      </c>
    </row>
    <row r="137" ht="22.5" customHeight="1">
      <c r="A137" s="5" t="s">
        <v>258</v>
      </c>
      <c r="B137" s="8">
        <f t="shared" si="2"/>
        <v>8</v>
      </c>
      <c r="C137" s="6">
        <v>46037.0</v>
      </c>
      <c r="D137" s="5" t="s">
        <v>118</v>
      </c>
      <c r="E137" s="5" t="s">
        <v>141</v>
      </c>
      <c r="F137" s="7" t="s">
        <v>19</v>
      </c>
      <c r="G137" s="8">
        <v>11.0</v>
      </c>
      <c r="H137" s="8">
        <v>28000.0</v>
      </c>
      <c r="I137" s="8">
        <v>18000.0</v>
      </c>
      <c r="J137" s="10" t="str">
        <f t="shared" si="3"/>
        <v>Posadas</v>
      </c>
      <c r="K137" s="11">
        <f t="shared" si="4"/>
        <v>11</v>
      </c>
      <c r="L137" s="10" t="str">
        <f t="shared" ref="L137:M137" si="143">PROPER(E137)</f>
        <v>Carlos Ruiz</v>
      </c>
      <c r="M137" s="10" t="str">
        <f t="shared" si="143"/>
        <v>Auriculares Bluetooth Pro</v>
      </c>
      <c r="N137" s="10" t="str">
        <f t="array" ref="N137">IFERROR(_xlfn.XLOOKUP(M137, Maestro_productos_15!$B:$B, Maestro_productos_15!$D:$D), "No encontrado")</f>
        <v>TechImport S.R.L.</v>
      </c>
      <c r="O137" s="10" t="str">
        <f t="array" ref="O137">IFERROR(_xlfn.XLOOKUP(M137,Maestro_productos_15!$B:$B,Maestro_productos_15!$C:$C), "Sin Categoria")</f>
        <v>Tecnología</v>
      </c>
      <c r="P137" s="11">
        <f t="shared" si="6"/>
        <v>308000</v>
      </c>
      <c r="Q137" s="11">
        <f t="shared" si="7"/>
        <v>198000</v>
      </c>
      <c r="R137" s="11">
        <f t="shared" si="8"/>
        <v>110000</v>
      </c>
      <c r="S137" s="15">
        <f t="shared" si="9"/>
        <v>12320</v>
      </c>
    </row>
    <row r="138" ht="22.5" customHeight="1">
      <c r="A138" s="5" t="s">
        <v>259</v>
      </c>
      <c r="B138" s="8">
        <f t="shared" si="2"/>
        <v>8</v>
      </c>
      <c r="C138" s="6">
        <v>46060.0</v>
      </c>
      <c r="D138" s="5" t="s">
        <v>118</v>
      </c>
      <c r="E138" s="5" t="s">
        <v>90</v>
      </c>
      <c r="F138" s="7" t="s">
        <v>7</v>
      </c>
      <c r="G138" s="8">
        <v>16.0</v>
      </c>
      <c r="H138" s="8">
        <v>3800.0</v>
      </c>
      <c r="I138" s="8">
        <v>2500.0</v>
      </c>
      <c r="J138" s="10" t="str">
        <f t="shared" si="3"/>
        <v>Posadas</v>
      </c>
      <c r="K138" s="11">
        <f t="shared" si="4"/>
        <v>16</v>
      </c>
      <c r="L138" s="10" t="str">
        <f t="shared" ref="L138:M138" si="144">PROPER(E138)</f>
        <v>Ana Martinez</v>
      </c>
      <c r="M138" s="10" t="str">
        <f t="shared" si="144"/>
        <v>Yerba Mate Premium 1Kg</v>
      </c>
      <c r="N138" s="10" t="str">
        <f t="array" ref="N138">IFERROR(_xlfn.XLOOKUP(M138, Maestro_productos_15!$B:$B, Maestro_productos_15!$D:$D), "No encontrado")</f>
        <v>Cooperativa Neike</v>
      </c>
      <c r="O138" s="10" t="str">
        <f t="array" ref="O138">IFERROR(_xlfn.XLOOKUP(M138,Maestro_productos_15!$B:$B,Maestro_productos_15!$C:$C), "Sin Categoria")</f>
        <v>Alimentos</v>
      </c>
      <c r="P138" s="11">
        <f t="shared" si="6"/>
        <v>60800</v>
      </c>
      <c r="Q138" s="11">
        <f t="shared" si="7"/>
        <v>40000</v>
      </c>
      <c r="R138" s="11">
        <f t="shared" si="8"/>
        <v>20800</v>
      </c>
      <c r="S138" s="15">
        <f t="shared" si="9"/>
        <v>1216</v>
      </c>
    </row>
    <row r="139" ht="22.5" customHeight="1">
      <c r="A139" s="5" t="s">
        <v>260</v>
      </c>
      <c r="B139" s="8">
        <f t="shared" si="2"/>
        <v>8</v>
      </c>
      <c r="C139" s="6">
        <v>46044.0</v>
      </c>
      <c r="D139" s="5" t="s">
        <v>118</v>
      </c>
      <c r="E139" s="5" t="s">
        <v>113</v>
      </c>
      <c r="F139" s="7" t="s">
        <v>171</v>
      </c>
      <c r="G139" s="8">
        <v>24.0</v>
      </c>
      <c r="H139" s="8">
        <v>18500.0</v>
      </c>
      <c r="I139" s="8">
        <v>12500.0</v>
      </c>
      <c r="J139" s="10" t="str">
        <f t="shared" si="3"/>
        <v>Posadas</v>
      </c>
      <c r="K139" s="11">
        <f t="shared" si="4"/>
        <v>24</v>
      </c>
      <c r="L139" s="10" t="str">
        <f t="shared" ref="L139:M139" si="145">PROPER(E139)</f>
        <v>Maria Gomez</v>
      </c>
      <c r="M139" s="10" t="str">
        <f t="shared" si="145"/>
        <v>Café En Grano Intenso 1Kg</v>
      </c>
      <c r="N139" s="10" t="str">
        <f t="array" ref="N139">IFERROR(_xlfn.XLOOKUP(M139, Maestro_productos_15!$B:$B, Maestro_productos_15!$D:$D), "No encontrado")</f>
        <v>Distribuidora del Nordeste</v>
      </c>
      <c r="O139" s="10" t="str">
        <f t="array" ref="O139">IFERROR(_xlfn.XLOOKUP(M139,Maestro_productos_15!$B:$B,Maestro_productos_15!$C:$C), "Sin Categoria")</f>
        <v>Alimentos</v>
      </c>
      <c r="P139" s="11">
        <f t="shared" si="6"/>
        <v>444000</v>
      </c>
      <c r="Q139" s="11">
        <f t="shared" si="7"/>
        <v>300000</v>
      </c>
      <c r="R139" s="11">
        <f t="shared" si="8"/>
        <v>144000</v>
      </c>
      <c r="S139" s="15">
        <f t="shared" si="9"/>
        <v>8880</v>
      </c>
    </row>
    <row r="140" ht="22.5" customHeight="1">
      <c r="A140" s="5" t="s">
        <v>261</v>
      </c>
      <c r="B140" s="8">
        <f t="shared" si="2"/>
        <v>8</v>
      </c>
      <c r="C140" s="6">
        <v>46025.0</v>
      </c>
      <c r="D140" s="5" t="s">
        <v>118</v>
      </c>
      <c r="E140" s="5" t="s">
        <v>106</v>
      </c>
      <c r="F140" s="7" t="s">
        <v>42</v>
      </c>
      <c r="G140" s="8">
        <v>6.0</v>
      </c>
      <c r="H140" s="8">
        <v>45000.0</v>
      </c>
      <c r="I140" s="8">
        <v>30000.0</v>
      </c>
      <c r="J140" s="10" t="str">
        <f t="shared" si="3"/>
        <v>Posadas</v>
      </c>
      <c r="K140" s="11">
        <f t="shared" si="4"/>
        <v>6</v>
      </c>
      <c r="L140" s="10" t="str">
        <f t="shared" ref="L140:M140" si="146">PROPER(E140)</f>
        <v>Ana Martinez</v>
      </c>
      <c r="M140" s="10" t="str">
        <f t="shared" si="146"/>
        <v>Teclado Mecánico Rgb</v>
      </c>
      <c r="N140" s="10" t="str">
        <f t="array" ref="N140">IFERROR(_xlfn.XLOOKUP(M140, Maestro_productos_15!$B:$B, Maestro_productos_15!$D:$D), "No encontrado")</f>
        <v>TechImport S.R.L.</v>
      </c>
      <c r="O140" s="10" t="str">
        <f t="array" ref="O140">IFERROR(_xlfn.XLOOKUP(M140,Maestro_productos_15!$B:$B,Maestro_productos_15!$C:$C), "Sin Categoria")</f>
        <v>Tecnología</v>
      </c>
      <c r="P140" s="11">
        <f t="shared" si="6"/>
        <v>270000</v>
      </c>
      <c r="Q140" s="11">
        <f t="shared" si="7"/>
        <v>180000</v>
      </c>
      <c r="R140" s="11">
        <f t="shared" si="8"/>
        <v>90000</v>
      </c>
      <c r="S140" s="15">
        <f t="shared" si="9"/>
        <v>10800</v>
      </c>
    </row>
    <row r="141" ht="22.5" customHeight="1">
      <c r="A141" s="5" t="s">
        <v>262</v>
      </c>
      <c r="B141" s="8">
        <f t="shared" si="2"/>
        <v>8</v>
      </c>
      <c r="C141" s="6">
        <v>46023.0</v>
      </c>
      <c r="D141" s="5" t="s">
        <v>88</v>
      </c>
      <c r="E141" s="5" t="s">
        <v>113</v>
      </c>
      <c r="F141" s="7" t="s">
        <v>92</v>
      </c>
      <c r="G141" s="8">
        <v>14.0</v>
      </c>
      <c r="H141" s="8">
        <v>8500.0</v>
      </c>
      <c r="I141" s="8">
        <v>4800.0</v>
      </c>
      <c r="J141" s="10" t="str">
        <f t="shared" si="3"/>
        <v>Corrientes</v>
      </c>
      <c r="K141" s="11">
        <f t="shared" si="4"/>
        <v>14</v>
      </c>
      <c r="L141" s="10" t="str">
        <f t="shared" ref="L141:M141" si="147">PROPER(E141)</f>
        <v>Maria Gomez</v>
      </c>
      <c r="M141" s="10" t="str">
        <f t="shared" si="147"/>
        <v>Mates De Madera Calada</v>
      </c>
      <c r="N141" s="10" t="str">
        <f t="array" ref="N141">IFERROR(_xlfn.XLOOKUP(M141, Maestro_productos_15!$B:$B, Maestro_productos_15!$D:$D), "No encontrado")</f>
        <v>Artesanías Guaraníes</v>
      </c>
      <c r="O141" s="10" t="str">
        <f t="array" ref="O141">IFERROR(_xlfn.XLOOKUP(M141,Maestro_productos_15!$B:$B,Maestro_productos_15!$C:$C), "Sin Categoria")</f>
        <v>Bazar</v>
      </c>
      <c r="P141" s="11">
        <f t="shared" si="6"/>
        <v>119000</v>
      </c>
      <c r="Q141" s="11">
        <f t="shared" si="7"/>
        <v>67200</v>
      </c>
      <c r="R141" s="11">
        <f t="shared" si="8"/>
        <v>51800</v>
      </c>
      <c r="S141" s="15">
        <f t="shared" si="9"/>
        <v>2380</v>
      </c>
    </row>
    <row r="142" ht="22.5" customHeight="1">
      <c r="A142" s="5" t="s">
        <v>263</v>
      </c>
      <c r="B142" s="8">
        <f t="shared" si="2"/>
        <v>8</v>
      </c>
      <c r="C142" s="6">
        <v>46037.0</v>
      </c>
      <c r="D142" s="5" t="s">
        <v>118</v>
      </c>
      <c r="E142" s="5" t="s">
        <v>106</v>
      </c>
      <c r="F142" s="7" t="s">
        <v>156</v>
      </c>
      <c r="G142" s="8">
        <v>6.0</v>
      </c>
      <c r="H142" s="8">
        <v>6200.0</v>
      </c>
      <c r="I142" s="8">
        <v>3800.0</v>
      </c>
      <c r="J142" s="10" t="str">
        <f t="shared" si="3"/>
        <v>Posadas</v>
      </c>
      <c r="K142" s="11">
        <f t="shared" si="4"/>
        <v>6</v>
      </c>
      <c r="L142" s="10" t="str">
        <f t="shared" ref="L142:M142" si="148">PROPER(E142)</f>
        <v>Ana Martinez</v>
      </c>
      <c r="M142" s="10" t="str">
        <f t="shared" si="148"/>
        <v>Shampoo Canino Neutro 500Ml</v>
      </c>
      <c r="N142" s="10" t="str">
        <f t="array" ref="N142">IFERROR(_xlfn.XLOOKUP(M142, Maestro_productos_15!$B:$B, Maestro_productos_15!$D:$D), "No encontrado")</f>
        <v>PetStyle Litoral</v>
      </c>
      <c r="O142" s="10" t="str">
        <f t="array" ref="O142">IFERROR(_xlfn.XLOOKUP(M142,Maestro_productos_15!$B:$B,Maestro_productos_15!$C:$C), "Sin Categoria")</f>
        <v>Mascotas</v>
      </c>
      <c r="P142" s="11">
        <f t="shared" si="6"/>
        <v>37200</v>
      </c>
      <c r="Q142" s="11">
        <f t="shared" si="7"/>
        <v>22800</v>
      </c>
      <c r="R142" s="11">
        <f t="shared" si="8"/>
        <v>14400</v>
      </c>
      <c r="S142" s="15">
        <f t="shared" si="9"/>
        <v>744</v>
      </c>
    </row>
    <row r="143" ht="22.5" customHeight="1">
      <c r="A143" s="5" t="s">
        <v>264</v>
      </c>
      <c r="B143" s="8">
        <f t="shared" si="2"/>
        <v>8</v>
      </c>
      <c r="C143" s="6">
        <v>46029.0</v>
      </c>
      <c r="D143" s="5" t="s">
        <v>108</v>
      </c>
      <c r="E143" s="5" t="s">
        <v>141</v>
      </c>
      <c r="F143" s="7" t="s">
        <v>34</v>
      </c>
      <c r="G143" s="8">
        <v>5.0</v>
      </c>
      <c r="H143" s="8">
        <v>4800.0</v>
      </c>
      <c r="I143" s="8">
        <v>2700.0</v>
      </c>
      <c r="J143" s="10" t="str">
        <f t="shared" si="3"/>
        <v>Corrientes</v>
      </c>
      <c r="K143" s="11">
        <f t="shared" si="4"/>
        <v>5</v>
      </c>
      <c r="L143" s="10" t="str">
        <f t="shared" ref="L143:M143" si="149">PROPER(E143)</f>
        <v>Carlos Ruiz</v>
      </c>
      <c r="M143" s="10" t="str">
        <f t="shared" si="149"/>
        <v>Juguete Mordillo Goma</v>
      </c>
      <c r="N143" s="10" t="str">
        <f t="array" ref="N143">IFERROR(_xlfn.XLOOKUP(M143, Maestro_productos_15!$B:$B, Maestro_productos_15!$D:$D), "No encontrado")</f>
        <v>PetStyle Litoral</v>
      </c>
      <c r="O143" s="10" t="str">
        <f t="array" ref="O143">IFERROR(_xlfn.XLOOKUP(M143,Maestro_productos_15!$B:$B,Maestro_productos_15!$C:$C), "Sin Categoria")</f>
        <v>Mascotas</v>
      </c>
      <c r="P143" s="11">
        <f t="shared" si="6"/>
        <v>24000</v>
      </c>
      <c r="Q143" s="11">
        <f t="shared" si="7"/>
        <v>13500</v>
      </c>
      <c r="R143" s="11">
        <f t="shared" si="8"/>
        <v>10500</v>
      </c>
      <c r="S143" s="15">
        <f t="shared" si="9"/>
        <v>480</v>
      </c>
    </row>
    <row r="144" ht="22.5" customHeight="1">
      <c r="A144" s="5" t="s">
        <v>265</v>
      </c>
      <c r="B144" s="8">
        <f t="shared" si="2"/>
        <v>8</v>
      </c>
      <c r="C144" s="6">
        <v>46055.0</v>
      </c>
      <c r="D144" s="5" t="s">
        <v>88</v>
      </c>
      <c r="E144" s="5" t="s">
        <v>106</v>
      </c>
      <c r="F144" s="7" t="s">
        <v>51</v>
      </c>
      <c r="G144" s="8">
        <v>10.0</v>
      </c>
      <c r="H144" s="8">
        <v>8500.0</v>
      </c>
      <c r="I144" s="8">
        <v>4800.0</v>
      </c>
      <c r="J144" s="10" t="str">
        <f t="shared" si="3"/>
        <v>Corrientes</v>
      </c>
      <c r="K144" s="11">
        <f t="shared" si="4"/>
        <v>10</v>
      </c>
      <c r="L144" s="10" t="str">
        <f t="shared" ref="L144:M144" si="150">PROPER(E144)</f>
        <v>Ana Martinez</v>
      </c>
      <c r="M144" s="10" t="str">
        <f t="shared" si="150"/>
        <v>Mates De Madera Calada</v>
      </c>
      <c r="N144" s="10" t="str">
        <f t="array" ref="N144">IFERROR(_xlfn.XLOOKUP(M144, Maestro_productos_15!$B:$B, Maestro_productos_15!$D:$D), "No encontrado")</f>
        <v>Artesanías Guaraníes</v>
      </c>
      <c r="O144" s="10" t="str">
        <f t="array" ref="O144">IFERROR(_xlfn.XLOOKUP(M144,Maestro_productos_15!$B:$B,Maestro_productos_15!$C:$C), "Sin Categoria")</f>
        <v>Bazar</v>
      </c>
      <c r="P144" s="11">
        <f t="shared" si="6"/>
        <v>85000</v>
      </c>
      <c r="Q144" s="11">
        <f t="shared" si="7"/>
        <v>48000</v>
      </c>
      <c r="R144" s="11">
        <f t="shared" si="8"/>
        <v>37000</v>
      </c>
      <c r="S144" s="15">
        <f t="shared" si="9"/>
        <v>1700</v>
      </c>
    </row>
    <row r="145" ht="22.5" customHeight="1">
      <c r="A145" s="5" t="s">
        <v>266</v>
      </c>
      <c r="B145" s="8">
        <f t="shared" si="2"/>
        <v>8</v>
      </c>
      <c r="C145" s="6">
        <v>46096.0</v>
      </c>
      <c r="D145" s="5" t="s">
        <v>99</v>
      </c>
      <c r="E145" s="5" t="s">
        <v>113</v>
      </c>
      <c r="F145" s="7" t="s">
        <v>64</v>
      </c>
      <c r="G145" s="8">
        <v>14.0</v>
      </c>
      <c r="H145" s="8">
        <v>6200.0</v>
      </c>
      <c r="I145" s="8">
        <v>3800.0</v>
      </c>
      <c r="J145" s="10" t="str">
        <f t="shared" si="3"/>
        <v>Posadas</v>
      </c>
      <c r="K145" s="11">
        <f t="shared" si="4"/>
        <v>14</v>
      </c>
      <c r="L145" s="10" t="str">
        <f t="shared" ref="L145:M145" si="151">PROPER(E145)</f>
        <v>Maria Gomez</v>
      </c>
      <c r="M145" s="10" t="str">
        <f t="shared" si="151"/>
        <v>Shampoo Canino Neutro 500Ml</v>
      </c>
      <c r="N145" s="10" t="str">
        <f t="array" ref="N145">IFERROR(_xlfn.XLOOKUP(M145, Maestro_productos_15!$B:$B, Maestro_productos_15!$D:$D), "No encontrado")</f>
        <v>PetStyle Litoral</v>
      </c>
      <c r="O145" s="10" t="str">
        <f t="array" ref="O145">IFERROR(_xlfn.XLOOKUP(M145,Maestro_productos_15!$B:$B,Maestro_productos_15!$C:$C), "Sin Categoria")</f>
        <v>Mascotas</v>
      </c>
      <c r="P145" s="11">
        <f t="shared" si="6"/>
        <v>86800</v>
      </c>
      <c r="Q145" s="11">
        <f t="shared" si="7"/>
        <v>53200</v>
      </c>
      <c r="R145" s="11">
        <f t="shared" si="8"/>
        <v>33600</v>
      </c>
      <c r="S145" s="15">
        <f t="shared" si="9"/>
        <v>1736</v>
      </c>
    </row>
    <row r="146" ht="22.5" customHeight="1">
      <c r="A146" s="5" t="s">
        <v>267</v>
      </c>
      <c r="B146" s="8">
        <f t="shared" si="2"/>
        <v>8</v>
      </c>
      <c r="C146" s="6">
        <v>46066.0</v>
      </c>
      <c r="D146" s="5" t="s">
        <v>133</v>
      </c>
      <c r="E146" s="5" t="s">
        <v>106</v>
      </c>
      <c r="F146" s="7" t="s">
        <v>34</v>
      </c>
      <c r="G146" s="8">
        <v>8.0</v>
      </c>
      <c r="H146" s="8">
        <v>4800.0</v>
      </c>
      <c r="I146" s="8">
        <v>2700.0</v>
      </c>
      <c r="J146" s="10" t="str">
        <f t="shared" si="3"/>
        <v>Resistencia</v>
      </c>
      <c r="K146" s="11">
        <f t="shared" si="4"/>
        <v>8</v>
      </c>
      <c r="L146" s="10" t="str">
        <f t="shared" ref="L146:M146" si="152">PROPER(E146)</f>
        <v>Ana Martinez</v>
      </c>
      <c r="M146" s="10" t="str">
        <f t="shared" si="152"/>
        <v>Juguete Mordillo Goma</v>
      </c>
      <c r="N146" s="10" t="str">
        <f t="array" ref="N146">IFERROR(_xlfn.XLOOKUP(M146, Maestro_productos_15!$B:$B, Maestro_productos_15!$D:$D), "No encontrado")</f>
        <v>PetStyle Litoral</v>
      </c>
      <c r="O146" s="10" t="str">
        <f t="array" ref="O146">IFERROR(_xlfn.XLOOKUP(M146,Maestro_productos_15!$B:$B,Maestro_productos_15!$C:$C), "Sin Categoria")</f>
        <v>Mascotas</v>
      </c>
      <c r="P146" s="11">
        <f t="shared" si="6"/>
        <v>38400</v>
      </c>
      <c r="Q146" s="11">
        <f t="shared" si="7"/>
        <v>21600</v>
      </c>
      <c r="R146" s="11">
        <f t="shared" si="8"/>
        <v>16800</v>
      </c>
      <c r="S146" s="15">
        <f t="shared" si="9"/>
        <v>768</v>
      </c>
    </row>
    <row r="147" ht="22.5" customHeight="1">
      <c r="A147" s="5" t="s">
        <v>268</v>
      </c>
      <c r="B147" s="8">
        <f t="shared" si="2"/>
        <v>8</v>
      </c>
      <c r="C147" s="6">
        <v>46084.0</v>
      </c>
      <c r="D147" s="5" t="s">
        <v>102</v>
      </c>
      <c r="E147" s="5" t="s">
        <v>100</v>
      </c>
      <c r="F147" s="7" t="s">
        <v>7</v>
      </c>
      <c r="G147" s="8">
        <v>22.0</v>
      </c>
      <c r="H147" s="8">
        <v>3800.0</v>
      </c>
      <c r="I147" s="8">
        <v>2500.0</v>
      </c>
      <c r="J147" s="10" t="str">
        <f t="shared" si="3"/>
        <v>Resistencia</v>
      </c>
      <c r="K147" s="11">
        <f t="shared" si="4"/>
        <v>22</v>
      </c>
      <c r="L147" s="10" t="str">
        <f t="shared" ref="L147:M147" si="153">PROPER(E147)</f>
        <v>Juan Perez</v>
      </c>
      <c r="M147" s="10" t="str">
        <f t="shared" si="153"/>
        <v>Yerba Mate Premium 1Kg</v>
      </c>
      <c r="N147" s="10" t="str">
        <f t="array" ref="N147">IFERROR(_xlfn.XLOOKUP(M147, Maestro_productos_15!$B:$B, Maestro_productos_15!$D:$D), "No encontrado")</f>
        <v>Cooperativa Neike</v>
      </c>
      <c r="O147" s="10" t="str">
        <f t="array" ref="O147">IFERROR(_xlfn.XLOOKUP(M147,Maestro_productos_15!$B:$B,Maestro_productos_15!$C:$C), "Sin Categoria")</f>
        <v>Alimentos</v>
      </c>
      <c r="P147" s="11">
        <f t="shared" si="6"/>
        <v>83600</v>
      </c>
      <c r="Q147" s="11">
        <f t="shared" si="7"/>
        <v>55000</v>
      </c>
      <c r="R147" s="11">
        <f t="shared" si="8"/>
        <v>28600</v>
      </c>
      <c r="S147" s="15">
        <f t="shared" si="9"/>
        <v>1672</v>
      </c>
    </row>
    <row r="148" ht="22.5" customHeight="1">
      <c r="A148" s="5" t="s">
        <v>269</v>
      </c>
      <c r="B148" s="8">
        <f t="shared" si="2"/>
        <v>8</v>
      </c>
      <c r="C148" s="6">
        <v>46075.0</v>
      </c>
      <c r="D148" s="5" t="s">
        <v>88</v>
      </c>
      <c r="E148" s="5" t="s">
        <v>127</v>
      </c>
      <c r="F148" s="7" t="s">
        <v>25</v>
      </c>
      <c r="G148" s="8">
        <v>10.0</v>
      </c>
      <c r="H148" s="8">
        <v>19500.0</v>
      </c>
      <c r="I148" s="8">
        <v>12000.0</v>
      </c>
      <c r="J148" s="10" t="str">
        <f t="shared" si="3"/>
        <v>Corrientes</v>
      </c>
      <c r="K148" s="11">
        <f t="shared" si="4"/>
        <v>10</v>
      </c>
      <c r="L148" s="10" t="str">
        <f t="shared" ref="L148:M148" si="154">PROPER(E148)</f>
        <v>Carlos Ruiz</v>
      </c>
      <c r="M148" s="10" t="str">
        <f t="shared" si="154"/>
        <v>Soporte Regulable Notebook</v>
      </c>
      <c r="N148" s="10" t="str">
        <f t="array" ref="N148">IFERROR(_xlfn.XLOOKUP(M148, Maestro_productos_15!$B:$B, Maestro_productos_15!$D:$D), "No encontrado")</f>
        <v>TechImport S.R.L.</v>
      </c>
      <c r="O148" s="10" t="str">
        <f t="array" ref="O148">IFERROR(_xlfn.XLOOKUP(M148,Maestro_productos_15!$B:$B,Maestro_productos_15!$C:$C), "Sin Categoria")</f>
        <v>Tecnología</v>
      </c>
      <c r="P148" s="11">
        <f t="shared" si="6"/>
        <v>195000</v>
      </c>
      <c r="Q148" s="11">
        <f t="shared" si="7"/>
        <v>120000</v>
      </c>
      <c r="R148" s="11">
        <f t="shared" si="8"/>
        <v>75000</v>
      </c>
      <c r="S148" s="15">
        <f t="shared" si="9"/>
        <v>3900</v>
      </c>
    </row>
    <row r="149" ht="22.5" customHeight="1">
      <c r="A149" s="5" t="s">
        <v>270</v>
      </c>
      <c r="B149" s="8">
        <f t="shared" si="2"/>
        <v>8</v>
      </c>
      <c r="C149" s="6">
        <v>46069.0</v>
      </c>
      <c r="D149" s="5" t="s">
        <v>108</v>
      </c>
      <c r="E149" s="5" t="s">
        <v>127</v>
      </c>
      <c r="F149" s="7" t="s">
        <v>29</v>
      </c>
      <c r="G149" s="8">
        <v>25.0</v>
      </c>
      <c r="H149" s="8">
        <v>9200.0</v>
      </c>
      <c r="I149" s="8">
        <v>5500.0</v>
      </c>
      <c r="J149" s="10" t="str">
        <f t="shared" si="3"/>
        <v>Corrientes</v>
      </c>
      <c r="K149" s="11">
        <f t="shared" si="4"/>
        <v>25</v>
      </c>
      <c r="L149" s="10" t="str">
        <f t="shared" ref="L149:M149" si="155">PROPER(E149)</f>
        <v>Carlos Ruiz</v>
      </c>
      <c r="M149" s="10" t="str">
        <f t="shared" si="155"/>
        <v>Correa Reforzada Canina 3M</v>
      </c>
      <c r="N149" s="10" t="str">
        <f t="array" ref="N149">IFERROR(_xlfn.XLOOKUP(M149, Maestro_productos_15!$B:$B, Maestro_productos_15!$D:$D), "No encontrado")</f>
        <v>PetStyle Litoral</v>
      </c>
      <c r="O149" s="10" t="str">
        <f t="array" ref="O149">IFERROR(_xlfn.XLOOKUP(M149,Maestro_productos_15!$B:$B,Maestro_productos_15!$C:$C), "Sin Categoria")</f>
        <v>Mascotas</v>
      </c>
      <c r="P149" s="11">
        <f t="shared" si="6"/>
        <v>230000</v>
      </c>
      <c r="Q149" s="11">
        <f t="shared" si="7"/>
        <v>137500</v>
      </c>
      <c r="R149" s="11">
        <f t="shared" si="8"/>
        <v>92500</v>
      </c>
      <c r="S149" s="15">
        <f t="shared" si="9"/>
        <v>4600</v>
      </c>
    </row>
    <row r="150" ht="22.5" customHeight="1">
      <c r="A150" s="5" t="s">
        <v>271</v>
      </c>
      <c r="B150" s="8">
        <f t="shared" si="2"/>
        <v>8</v>
      </c>
      <c r="C150" s="6">
        <v>46111.0</v>
      </c>
      <c r="D150" s="5" t="s">
        <v>118</v>
      </c>
      <c r="E150" s="5" t="s">
        <v>90</v>
      </c>
      <c r="F150" s="7" t="s">
        <v>232</v>
      </c>
      <c r="G150" s="8">
        <v>15.0</v>
      </c>
      <c r="H150" s="8">
        <v>4800.0</v>
      </c>
      <c r="I150" s="8">
        <v>2700.0</v>
      </c>
      <c r="J150" s="10" t="str">
        <f t="shared" si="3"/>
        <v>Posadas</v>
      </c>
      <c r="K150" s="11">
        <f t="shared" si="4"/>
        <v>15</v>
      </c>
      <c r="L150" s="10" t="str">
        <f t="shared" ref="L150:M150" si="156">PROPER(E150)</f>
        <v>Ana Martinez</v>
      </c>
      <c r="M150" s="10" t="str">
        <f t="shared" si="156"/>
        <v>Juguete Mordillo Goma</v>
      </c>
      <c r="N150" s="10" t="str">
        <f t="array" ref="N150">IFERROR(_xlfn.XLOOKUP(M150, Maestro_productos_15!$B:$B, Maestro_productos_15!$D:$D), "No encontrado")</f>
        <v>PetStyle Litoral</v>
      </c>
      <c r="O150" s="10" t="str">
        <f t="array" ref="O150">IFERROR(_xlfn.XLOOKUP(M150,Maestro_productos_15!$B:$B,Maestro_productos_15!$C:$C), "Sin Categoria")</f>
        <v>Mascotas</v>
      </c>
      <c r="P150" s="11">
        <f t="shared" si="6"/>
        <v>72000</v>
      </c>
      <c r="Q150" s="11">
        <f t="shared" si="7"/>
        <v>40500</v>
      </c>
      <c r="R150" s="11">
        <f t="shared" si="8"/>
        <v>31500</v>
      </c>
      <c r="S150" s="15">
        <f t="shared" si="9"/>
        <v>1440</v>
      </c>
    </row>
    <row r="151" ht="22.5" customHeight="1">
      <c r="A151" s="5" t="s">
        <v>272</v>
      </c>
      <c r="B151" s="8">
        <f t="shared" si="2"/>
        <v>8</v>
      </c>
      <c r="C151" s="6">
        <v>46036.0</v>
      </c>
      <c r="D151" s="5" t="s">
        <v>88</v>
      </c>
      <c r="E151" s="5" t="s">
        <v>113</v>
      </c>
      <c r="F151" s="7" t="s">
        <v>42</v>
      </c>
      <c r="G151" s="8">
        <v>14.0</v>
      </c>
      <c r="H151" s="8">
        <v>45000.0</v>
      </c>
      <c r="I151" s="8">
        <v>30000.0</v>
      </c>
      <c r="J151" s="10" t="str">
        <f t="shared" si="3"/>
        <v>Corrientes</v>
      </c>
      <c r="K151" s="11">
        <f t="shared" si="4"/>
        <v>14</v>
      </c>
      <c r="L151" s="10" t="str">
        <f t="shared" ref="L151:M151" si="157">PROPER(E151)</f>
        <v>Maria Gomez</v>
      </c>
      <c r="M151" s="10" t="str">
        <f t="shared" si="157"/>
        <v>Teclado Mecánico Rgb</v>
      </c>
      <c r="N151" s="10" t="str">
        <f t="array" ref="N151">IFERROR(_xlfn.XLOOKUP(M151, Maestro_productos_15!$B:$B, Maestro_productos_15!$D:$D), "No encontrado")</f>
        <v>TechImport S.R.L.</v>
      </c>
      <c r="O151" s="10" t="str">
        <f t="array" ref="O151">IFERROR(_xlfn.XLOOKUP(M151,Maestro_productos_15!$B:$B,Maestro_productos_15!$C:$C), "Sin Categoria")</f>
        <v>Tecnología</v>
      </c>
      <c r="P151" s="11">
        <f t="shared" si="6"/>
        <v>630000</v>
      </c>
      <c r="Q151" s="11">
        <f t="shared" si="7"/>
        <v>420000</v>
      </c>
      <c r="R151" s="11">
        <f t="shared" si="8"/>
        <v>210000</v>
      </c>
      <c r="S151" s="15">
        <f t="shared" si="9"/>
        <v>37800</v>
      </c>
    </row>
    <row r="152" ht="22.5" customHeight="1">
      <c r="A152" s="5" t="s">
        <v>273</v>
      </c>
      <c r="B152" s="8">
        <f t="shared" si="2"/>
        <v>8</v>
      </c>
      <c r="C152" s="6">
        <v>46070.0</v>
      </c>
      <c r="D152" s="5" t="s">
        <v>102</v>
      </c>
      <c r="E152" s="5" t="s">
        <v>127</v>
      </c>
      <c r="F152" s="7" t="s">
        <v>42</v>
      </c>
      <c r="G152" s="8">
        <v>9.0</v>
      </c>
      <c r="H152" s="8">
        <v>45000.0</v>
      </c>
      <c r="I152" s="8">
        <v>30000.0</v>
      </c>
      <c r="J152" s="10" t="str">
        <f t="shared" si="3"/>
        <v>Resistencia</v>
      </c>
      <c r="K152" s="11">
        <f t="shared" si="4"/>
        <v>9</v>
      </c>
      <c r="L152" s="10" t="str">
        <f t="shared" ref="L152:M152" si="158">PROPER(E152)</f>
        <v>Carlos Ruiz</v>
      </c>
      <c r="M152" s="10" t="str">
        <f t="shared" si="158"/>
        <v>Teclado Mecánico Rgb</v>
      </c>
      <c r="N152" s="10" t="str">
        <f t="array" ref="N152">IFERROR(_xlfn.XLOOKUP(M152, Maestro_productos_15!$B:$B, Maestro_productos_15!$D:$D), "No encontrado")</f>
        <v>TechImport S.R.L.</v>
      </c>
      <c r="O152" s="10" t="str">
        <f t="array" ref="O152">IFERROR(_xlfn.XLOOKUP(M152,Maestro_productos_15!$B:$B,Maestro_productos_15!$C:$C), "Sin Categoria")</f>
        <v>Tecnología</v>
      </c>
      <c r="P152" s="11">
        <f t="shared" si="6"/>
        <v>405000</v>
      </c>
      <c r="Q152" s="11">
        <f t="shared" si="7"/>
        <v>270000</v>
      </c>
      <c r="R152" s="11">
        <f t="shared" si="8"/>
        <v>135000</v>
      </c>
      <c r="S152" s="15">
        <f t="shared" si="9"/>
        <v>16200</v>
      </c>
    </row>
    <row r="153" ht="22.5" customHeight="1">
      <c r="A153" s="5" t="s">
        <v>274</v>
      </c>
      <c r="B153" s="8">
        <f t="shared" si="2"/>
        <v>8</v>
      </c>
      <c r="C153" s="6">
        <v>46110.0</v>
      </c>
      <c r="D153" s="5" t="s">
        <v>102</v>
      </c>
      <c r="E153" s="5" t="s">
        <v>90</v>
      </c>
      <c r="F153" s="7" t="s">
        <v>60</v>
      </c>
      <c r="G153" s="8">
        <v>4.0</v>
      </c>
      <c r="H153" s="8">
        <v>15000.0</v>
      </c>
      <c r="I153" s="8">
        <v>9500.0</v>
      </c>
      <c r="J153" s="10" t="str">
        <f t="shared" si="3"/>
        <v>Resistencia</v>
      </c>
      <c r="K153" s="11">
        <f t="shared" si="4"/>
        <v>4</v>
      </c>
      <c r="L153" s="10" t="str">
        <f t="shared" ref="L153:M153" si="159">PROPER(E153)</f>
        <v>Ana Martinez</v>
      </c>
      <c r="M153" s="10" t="str">
        <f t="shared" si="159"/>
        <v>Mouse Inalámbrico Ergonómico</v>
      </c>
      <c r="N153" s="10" t="str">
        <f t="array" ref="N153">IFERROR(_xlfn.XLOOKUP(M153, Maestro_productos_15!$B:$B, Maestro_productos_15!$D:$D), "No encontrado")</f>
        <v>TechImport S.R.L.</v>
      </c>
      <c r="O153" s="10" t="str">
        <f t="array" ref="O153">IFERROR(_xlfn.XLOOKUP(M153,Maestro_productos_15!$B:$B,Maestro_productos_15!$C:$C), "Sin Categoria")</f>
        <v>Tecnología</v>
      </c>
      <c r="P153" s="11">
        <f t="shared" si="6"/>
        <v>60000</v>
      </c>
      <c r="Q153" s="11">
        <f t="shared" si="7"/>
        <v>38000</v>
      </c>
      <c r="R153" s="11">
        <f t="shared" si="8"/>
        <v>22000</v>
      </c>
      <c r="S153" s="15">
        <f t="shared" si="9"/>
        <v>1200</v>
      </c>
    </row>
    <row r="154" ht="22.5" customHeight="1">
      <c r="A154" s="5" t="s">
        <v>275</v>
      </c>
      <c r="B154" s="8">
        <f t="shared" si="2"/>
        <v>8</v>
      </c>
      <c r="C154" s="6">
        <v>46111.0</v>
      </c>
      <c r="D154" s="5" t="s">
        <v>103</v>
      </c>
      <c r="E154" s="5" t="s">
        <v>90</v>
      </c>
      <c r="F154" s="7" t="s">
        <v>46</v>
      </c>
      <c r="G154" s="8">
        <v>13.0</v>
      </c>
      <c r="H154" s="8">
        <v>18500.0</v>
      </c>
      <c r="I154" s="8">
        <v>12500.0</v>
      </c>
      <c r="J154" s="10" t="str">
        <f t="shared" si="3"/>
        <v>Formosa</v>
      </c>
      <c r="K154" s="11">
        <f t="shared" si="4"/>
        <v>13</v>
      </c>
      <c r="L154" s="10" t="str">
        <f t="shared" ref="L154:M154" si="160">PROPER(E154)</f>
        <v>Ana Martinez</v>
      </c>
      <c r="M154" s="10" t="str">
        <f t="shared" si="160"/>
        <v>Café En Grano Intenso 1Kg</v>
      </c>
      <c r="N154" s="10" t="str">
        <f t="array" ref="N154">IFERROR(_xlfn.XLOOKUP(M154, Maestro_productos_15!$B:$B, Maestro_productos_15!$D:$D), "No encontrado")</f>
        <v>Distribuidora del Nordeste</v>
      </c>
      <c r="O154" s="10" t="str">
        <f t="array" ref="O154">IFERROR(_xlfn.XLOOKUP(M154,Maestro_productos_15!$B:$B,Maestro_productos_15!$C:$C), "Sin Categoria")</f>
        <v>Alimentos</v>
      </c>
      <c r="P154" s="11">
        <f t="shared" si="6"/>
        <v>240500</v>
      </c>
      <c r="Q154" s="11">
        <f t="shared" si="7"/>
        <v>162500</v>
      </c>
      <c r="R154" s="11">
        <f t="shared" si="8"/>
        <v>78000</v>
      </c>
      <c r="S154" s="15">
        <f t="shared" si="9"/>
        <v>4810</v>
      </c>
    </row>
    <row r="155" ht="22.5" customHeight="1">
      <c r="A155" s="5" t="s">
        <v>276</v>
      </c>
      <c r="B155" s="8">
        <f t="shared" si="2"/>
        <v>8</v>
      </c>
      <c r="C155" s="6">
        <v>46084.0</v>
      </c>
      <c r="D155" s="5" t="s">
        <v>133</v>
      </c>
      <c r="E155" s="5" t="s">
        <v>100</v>
      </c>
      <c r="F155" s="7" t="s">
        <v>60</v>
      </c>
      <c r="G155" s="8">
        <v>4.0</v>
      </c>
      <c r="H155" s="8">
        <v>15000.0</v>
      </c>
      <c r="I155" s="8">
        <v>9500.0</v>
      </c>
      <c r="J155" s="10" t="str">
        <f t="shared" si="3"/>
        <v>Resistencia</v>
      </c>
      <c r="K155" s="11">
        <f t="shared" si="4"/>
        <v>4</v>
      </c>
      <c r="L155" s="10" t="str">
        <f t="shared" ref="L155:M155" si="161">PROPER(E155)</f>
        <v>Juan Perez</v>
      </c>
      <c r="M155" s="10" t="str">
        <f t="shared" si="161"/>
        <v>Mouse Inalámbrico Ergonómico</v>
      </c>
      <c r="N155" s="10" t="str">
        <f t="array" ref="N155">IFERROR(_xlfn.XLOOKUP(M155, Maestro_productos_15!$B:$B, Maestro_productos_15!$D:$D), "No encontrado")</f>
        <v>TechImport S.R.L.</v>
      </c>
      <c r="O155" s="10" t="str">
        <f t="array" ref="O155">IFERROR(_xlfn.XLOOKUP(M155,Maestro_productos_15!$B:$B,Maestro_productos_15!$C:$C), "Sin Categoria")</f>
        <v>Tecnología</v>
      </c>
      <c r="P155" s="11">
        <f t="shared" si="6"/>
        <v>60000</v>
      </c>
      <c r="Q155" s="11">
        <f t="shared" si="7"/>
        <v>38000</v>
      </c>
      <c r="R155" s="11">
        <f t="shared" si="8"/>
        <v>22000</v>
      </c>
      <c r="S155" s="15">
        <f t="shared" si="9"/>
        <v>1200</v>
      </c>
    </row>
    <row r="156" ht="22.5" customHeight="1">
      <c r="A156" s="5" t="s">
        <v>277</v>
      </c>
      <c r="B156" s="8">
        <f t="shared" si="2"/>
        <v>8</v>
      </c>
      <c r="C156" s="6">
        <v>46030.0</v>
      </c>
      <c r="D156" s="5" t="s">
        <v>133</v>
      </c>
      <c r="E156" s="5" t="s">
        <v>106</v>
      </c>
      <c r="F156" s="7" t="s">
        <v>171</v>
      </c>
      <c r="G156" s="8">
        <v>12.0</v>
      </c>
      <c r="H156" s="8">
        <v>18500.0</v>
      </c>
      <c r="I156" s="8">
        <v>12500.0</v>
      </c>
      <c r="J156" s="10" t="str">
        <f t="shared" si="3"/>
        <v>Resistencia</v>
      </c>
      <c r="K156" s="11">
        <f t="shared" si="4"/>
        <v>12</v>
      </c>
      <c r="L156" s="10" t="str">
        <f t="shared" ref="L156:M156" si="162">PROPER(E156)</f>
        <v>Ana Martinez</v>
      </c>
      <c r="M156" s="10" t="str">
        <f t="shared" si="162"/>
        <v>Café En Grano Intenso 1Kg</v>
      </c>
      <c r="N156" s="10" t="str">
        <f t="array" ref="N156">IFERROR(_xlfn.XLOOKUP(M156, Maestro_productos_15!$B:$B, Maestro_productos_15!$D:$D), "No encontrado")</f>
        <v>Distribuidora del Nordeste</v>
      </c>
      <c r="O156" s="10" t="str">
        <f t="array" ref="O156">IFERROR(_xlfn.XLOOKUP(M156,Maestro_productos_15!$B:$B,Maestro_productos_15!$C:$C), "Sin Categoria")</f>
        <v>Alimentos</v>
      </c>
      <c r="P156" s="11">
        <f t="shared" si="6"/>
        <v>222000</v>
      </c>
      <c r="Q156" s="11">
        <f t="shared" si="7"/>
        <v>150000</v>
      </c>
      <c r="R156" s="11">
        <f t="shared" si="8"/>
        <v>72000</v>
      </c>
      <c r="S156" s="15">
        <f t="shared" si="9"/>
        <v>4440</v>
      </c>
    </row>
    <row r="157" ht="22.5" customHeight="1">
      <c r="A157" s="5" t="s">
        <v>278</v>
      </c>
      <c r="B157" s="8">
        <f t="shared" si="2"/>
        <v>8</v>
      </c>
      <c r="C157" s="6">
        <v>46095.0</v>
      </c>
      <c r="D157" s="5" t="s">
        <v>99</v>
      </c>
      <c r="E157" s="5" t="s">
        <v>127</v>
      </c>
      <c r="F157" s="7" t="s">
        <v>71</v>
      </c>
      <c r="G157" s="8">
        <v>20.0</v>
      </c>
      <c r="H157" s="8">
        <v>22000.0</v>
      </c>
      <c r="I157" s="8">
        <v>14000.0</v>
      </c>
      <c r="J157" s="10" t="str">
        <f t="shared" si="3"/>
        <v>Posadas</v>
      </c>
      <c r="K157" s="11">
        <f t="shared" si="4"/>
        <v>20</v>
      </c>
      <c r="L157" s="10" t="str">
        <f t="shared" ref="L157:M157" si="163">PROPER(E157)</f>
        <v>Carlos Ruiz</v>
      </c>
      <c r="M157" s="10" t="str">
        <f t="shared" si="163"/>
        <v>Cargador Rápido Usb-C 65W</v>
      </c>
      <c r="N157" s="10" t="str">
        <f t="array" ref="N157">IFERROR(_xlfn.XLOOKUP(M157, Maestro_productos_15!$B:$B, Maestro_productos_15!$D:$D), "No encontrado")</f>
        <v>TechImport S.R.L.</v>
      </c>
      <c r="O157" s="10" t="str">
        <f t="array" ref="O157">IFERROR(_xlfn.XLOOKUP(M157,Maestro_productos_15!$B:$B,Maestro_productos_15!$C:$C), "Sin Categoria")</f>
        <v>Tecnología</v>
      </c>
      <c r="P157" s="11">
        <f t="shared" si="6"/>
        <v>440000</v>
      </c>
      <c r="Q157" s="11">
        <f t="shared" si="7"/>
        <v>280000</v>
      </c>
      <c r="R157" s="11">
        <f t="shared" si="8"/>
        <v>160000</v>
      </c>
      <c r="S157" s="15">
        <f t="shared" si="9"/>
        <v>8800</v>
      </c>
    </row>
    <row r="158" ht="22.5" customHeight="1">
      <c r="A158" s="5" t="s">
        <v>279</v>
      </c>
      <c r="B158" s="8">
        <f t="shared" si="2"/>
        <v>8</v>
      </c>
      <c r="C158" s="6">
        <v>46110.0</v>
      </c>
      <c r="D158" s="5" t="s">
        <v>102</v>
      </c>
      <c r="E158" s="5" t="s">
        <v>90</v>
      </c>
      <c r="F158" s="7" t="s">
        <v>130</v>
      </c>
      <c r="G158" s="8">
        <v>5.0</v>
      </c>
      <c r="H158" s="8">
        <v>15000.0</v>
      </c>
      <c r="I158" s="8">
        <v>9500.0</v>
      </c>
      <c r="J158" s="10" t="str">
        <f t="shared" si="3"/>
        <v>Resistencia</v>
      </c>
      <c r="K158" s="11">
        <f t="shared" si="4"/>
        <v>5</v>
      </c>
      <c r="L158" s="10" t="str">
        <f t="shared" ref="L158:M158" si="164">PROPER(E158)</f>
        <v>Ana Martinez</v>
      </c>
      <c r="M158" s="10" t="str">
        <f t="shared" si="164"/>
        <v>Mouse Inalámbrico Ergonómico</v>
      </c>
      <c r="N158" s="10" t="str">
        <f t="array" ref="N158">IFERROR(_xlfn.XLOOKUP(M158, Maestro_productos_15!$B:$B, Maestro_productos_15!$D:$D), "No encontrado")</f>
        <v>TechImport S.R.L.</v>
      </c>
      <c r="O158" s="10" t="str">
        <f t="array" ref="O158">IFERROR(_xlfn.XLOOKUP(M158,Maestro_productos_15!$B:$B,Maestro_productos_15!$C:$C), "Sin Categoria")</f>
        <v>Tecnología</v>
      </c>
      <c r="P158" s="11">
        <f t="shared" si="6"/>
        <v>75000</v>
      </c>
      <c r="Q158" s="11">
        <f t="shared" si="7"/>
        <v>47500</v>
      </c>
      <c r="R158" s="11">
        <f t="shared" si="8"/>
        <v>27500</v>
      </c>
      <c r="S158" s="15">
        <f t="shared" si="9"/>
        <v>1500</v>
      </c>
    </row>
    <row r="159" ht="22.5" customHeight="1">
      <c r="A159" s="5" t="s">
        <v>280</v>
      </c>
      <c r="B159" s="8">
        <f t="shared" si="2"/>
        <v>8</v>
      </c>
      <c r="C159" s="6">
        <v>46050.0</v>
      </c>
      <c r="D159" s="5" t="s">
        <v>133</v>
      </c>
      <c r="E159" s="5" t="s">
        <v>100</v>
      </c>
      <c r="F159" s="7" t="s">
        <v>281</v>
      </c>
      <c r="G159" s="8">
        <v>18.0</v>
      </c>
      <c r="H159" s="8">
        <v>28000.0</v>
      </c>
      <c r="I159" s="8">
        <v>18000.0</v>
      </c>
      <c r="J159" s="10" t="str">
        <f t="shared" si="3"/>
        <v>Resistencia</v>
      </c>
      <c r="K159" s="11">
        <f t="shared" si="4"/>
        <v>18</v>
      </c>
      <c r="L159" s="10" t="str">
        <f t="shared" ref="L159:M159" si="165">PROPER(E159)</f>
        <v>Juan Perez</v>
      </c>
      <c r="M159" s="10" t="str">
        <f t="shared" si="165"/>
        <v>Auriculares Bluetooth Pro</v>
      </c>
      <c r="N159" s="10" t="str">
        <f t="array" ref="N159">IFERROR(_xlfn.XLOOKUP(M159, Maestro_productos_15!$B:$B, Maestro_productos_15!$D:$D), "No encontrado")</f>
        <v>TechImport S.R.L.</v>
      </c>
      <c r="O159" s="10" t="str">
        <f t="array" ref="O159">IFERROR(_xlfn.XLOOKUP(M159,Maestro_productos_15!$B:$B,Maestro_productos_15!$C:$C), "Sin Categoria")</f>
        <v>Tecnología</v>
      </c>
      <c r="P159" s="11">
        <f t="shared" si="6"/>
        <v>504000</v>
      </c>
      <c r="Q159" s="11">
        <f t="shared" si="7"/>
        <v>324000</v>
      </c>
      <c r="R159" s="11">
        <f t="shared" si="8"/>
        <v>180000</v>
      </c>
      <c r="S159" s="15">
        <f t="shared" si="9"/>
        <v>20160</v>
      </c>
    </row>
    <row r="160" ht="22.5" customHeight="1">
      <c r="A160" s="5" t="s">
        <v>282</v>
      </c>
      <c r="B160" s="8">
        <f t="shared" si="2"/>
        <v>8</v>
      </c>
      <c r="C160" s="6">
        <v>46110.0</v>
      </c>
      <c r="D160" s="5" t="s">
        <v>118</v>
      </c>
      <c r="E160" s="5" t="s">
        <v>90</v>
      </c>
      <c r="F160" s="7" t="s">
        <v>19</v>
      </c>
      <c r="G160" s="8">
        <v>14.0</v>
      </c>
      <c r="H160" s="8">
        <v>28000.0</v>
      </c>
      <c r="I160" s="8">
        <v>18000.0</v>
      </c>
      <c r="J160" s="10" t="str">
        <f t="shared" si="3"/>
        <v>Posadas</v>
      </c>
      <c r="K160" s="11">
        <f t="shared" si="4"/>
        <v>14</v>
      </c>
      <c r="L160" s="10" t="str">
        <f t="shared" ref="L160:M160" si="166">PROPER(E160)</f>
        <v>Ana Martinez</v>
      </c>
      <c r="M160" s="10" t="str">
        <f t="shared" si="166"/>
        <v>Auriculares Bluetooth Pro</v>
      </c>
      <c r="N160" s="10" t="str">
        <f t="array" ref="N160">IFERROR(_xlfn.XLOOKUP(M160, Maestro_productos_15!$B:$B, Maestro_productos_15!$D:$D), "No encontrado")</f>
        <v>TechImport S.R.L.</v>
      </c>
      <c r="O160" s="10" t="str">
        <f t="array" ref="O160">IFERROR(_xlfn.XLOOKUP(M160,Maestro_productos_15!$B:$B,Maestro_productos_15!$C:$C), "Sin Categoria")</f>
        <v>Tecnología</v>
      </c>
      <c r="P160" s="11">
        <f t="shared" si="6"/>
        <v>392000</v>
      </c>
      <c r="Q160" s="11">
        <f t="shared" si="7"/>
        <v>252000</v>
      </c>
      <c r="R160" s="11">
        <f t="shared" si="8"/>
        <v>140000</v>
      </c>
      <c r="S160" s="15">
        <f t="shared" si="9"/>
        <v>15680</v>
      </c>
    </row>
    <row r="161" ht="22.5" customHeight="1">
      <c r="A161" s="5" t="s">
        <v>283</v>
      </c>
      <c r="B161" s="8">
        <f t="shared" si="2"/>
        <v>8</v>
      </c>
      <c r="C161" s="6">
        <v>46082.0</v>
      </c>
      <c r="D161" s="5" t="s">
        <v>103</v>
      </c>
      <c r="E161" s="5" t="s">
        <v>141</v>
      </c>
      <c r="F161" s="7" t="s">
        <v>257</v>
      </c>
      <c r="G161" s="8">
        <v>9.0</v>
      </c>
      <c r="H161" s="8">
        <v>19500.0</v>
      </c>
      <c r="I161" s="8">
        <v>12000.0</v>
      </c>
      <c r="J161" s="10" t="str">
        <f t="shared" si="3"/>
        <v>Formosa</v>
      </c>
      <c r="K161" s="11">
        <f t="shared" si="4"/>
        <v>9</v>
      </c>
      <c r="L161" s="10" t="str">
        <f t="shared" ref="L161:M161" si="167">PROPER(E161)</f>
        <v>Carlos Ruiz</v>
      </c>
      <c r="M161" s="10" t="str">
        <f t="shared" si="167"/>
        <v>Soporte Regulable Notebook</v>
      </c>
      <c r="N161" s="10" t="str">
        <f t="array" ref="N161">IFERROR(_xlfn.XLOOKUP(M161, Maestro_productos_15!$B:$B, Maestro_productos_15!$D:$D), "No encontrado")</f>
        <v>TechImport S.R.L.</v>
      </c>
      <c r="O161" s="10" t="str">
        <f t="array" ref="O161">IFERROR(_xlfn.XLOOKUP(M161,Maestro_productos_15!$B:$B,Maestro_productos_15!$C:$C), "Sin Categoria")</f>
        <v>Tecnología</v>
      </c>
      <c r="P161" s="11">
        <f t="shared" si="6"/>
        <v>175500</v>
      </c>
      <c r="Q161" s="11">
        <f t="shared" si="7"/>
        <v>108000</v>
      </c>
      <c r="R161" s="11">
        <f t="shared" si="8"/>
        <v>67500</v>
      </c>
      <c r="S161" s="15">
        <f t="shared" si="9"/>
        <v>3510</v>
      </c>
    </row>
    <row r="162" ht="22.5" customHeight="1">
      <c r="A162" s="5" t="s">
        <v>284</v>
      </c>
      <c r="B162" s="8">
        <f t="shared" si="2"/>
        <v>8</v>
      </c>
      <c r="C162" s="6">
        <v>46079.0</v>
      </c>
      <c r="D162" s="5" t="s">
        <v>133</v>
      </c>
      <c r="E162" s="5" t="s">
        <v>115</v>
      </c>
      <c r="F162" s="7" t="s">
        <v>64</v>
      </c>
      <c r="G162" s="8">
        <v>4.0</v>
      </c>
      <c r="H162" s="8">
        <v>6200.0</v>
      </c>
      <c r="I162" s="8">
        <v>3800.0</v>
      </c>
      <c r="J162" s="10" t="str">
        <f t="shared" si="3"/>
        <v>Resistencia</v>
      </c>
      <c r="K162" s="11">
        <f t="shared" si="4"/>
        <v>4</v>
      </c>
      <c r="L162" s="10" t="str">
        <f t="shared" ref="L162:M162" si="168">PROPER(E162)</f>
        <v>Juan Perez</v>
      </c>
      <c r="M162" s="10" t="str">
        <f t="shared" si="168"/>
        <v>Shampoo Canino Neutro 500Ml</v>
      </c>
      <c r="N162" s="10" t="str">
        <f t="array" ref="N162">IFERROR(_xlfn.XLOOKUP(M162, Maestro_productos_15!$B:$B, Maestro_productos_15!$D:$D), "No encontrado")</f>
        <v>PetStyle Litoral</v>
      </c>
      <c r="O162" s="10" t="str">
        <f t="array" ref="O162">IFERROR(_xlfn.XLOOKUP(M162,Maestro_productos_15!$B:$B,Maestro_productos_15!$C:$C), "Sin Categoria")</f>
        <v>Mascotas</v>
      </c>
      <c r="P162" s="11">
        <f t="shared" si="6"/>
        <v>24800</v>
      </c>
      <c r="Q162" s="11">
        <f t="shared" si="7"/>
        <v>15200</v>
      </c>
      <c r="R162" s="11">
        <f t="shared" si="8"/>
        <v>9600</v>
      </c>
      <c r="S162" s="15">
        <f t="shared" si="9"/>
        <v>496</v>
      </c>
    </row>
    <row r="163" ht="22.5" customHeight="1">
      <c r="A163" s="5" t="s">
        <v>285</v>
      </c>
      <c r="B163" s="8">
        <f t="shared" si="2"/>
        <v>8</v>
      </c>
      <c r="C163" s="6">
        <v>46098.0</v>
      </c>
      <c r="D163" s="5" t="s">
        <v>133</v>
      </c>
      <c r="E163" s="5" t="s">
        <v>113</v>
      </c>
      <c r="F163" s="7" t="s">
        <v>46</v>
      </c>
      <c r="G163" s="8">
        <v>4.0</v>
      </c>
      <c r="H163" s="8">
        <v>18500.0</v>
      </c>
      <c r="I163" s="8">
        <v>12500.0</v>
      </c>
      <c r="J163" s="10" t="str">
        <f t="shared" si="3"/>
        <v>Resistencia</v>
      </c>
      <c r="K163" s="11">
        <f t="shared" si="4"/>
        <v>4</v>
      </c>
      <c r="L163" s="10" t="str">
        <f t="shared" ref="L163:M163" si="169">PROPER(E163)</f>
        <v>Maria Gomez</v>
      </c>
      <c r="M163" s="10" t="str">
        <f t="shared" si="169"/>
        <v>Café En Grano Intenso 1Kg</v>
      </c>
      <c r="N163" s="10" t="str">
        <f t="array" ref="N163">IFERROR(_xlfn.XLOOKUP(M163, Maestro_productos_15!$B:$B, Maestro_productos_15!$D:$D), "No encontrado")</f>
        <v>Distribuidora del Nordeste</v>
      </c>
      <c r="O163" s="10" t="str">
        <f t="array" ref="O163">IFERROR(_xlfn.XLOOKUP(M163,Maestro_productos_15!$B:$B,Maestro_productos_15!$C:$C), "Sin Categoria")</f>
        <v>Alimentos</v>
      </c>
      <c r="P163" s="11">
        <f t="shared" si="6"/>
        <v>74000</v>
      </c>
      <c r="Q163" s="11">
        <f t="shared" si="7"/>
        <v>50000</v>
      </c>
      <c r="R163" s="11">
        <f t="shared" si="8"/>
        <v>24000</v>
      </c>
      <c r="S163" s="15">
        <f t="shared" si="9"/>
        <v>1480</v>
      </c>
    </row>
    <row r="164" ht="22.5" customHeight="1">
      <c r="A164" s="5" t="s">
        <v>286</v>
      </c>
      <c r="B164" s="8">
        <f t="shared" si="2"/>
        <v>8</v>
      </c>
      <c r="C164" s="6">
        <v>46084.0</v>
      </c>
      <c r="D164" s="5" t="s">
        <v>118</v>
      </c>
      <c r="E164" s="5" t="s">
        <v>90</v>
      </c>
      <c r="F164" s="7" t="s">
        <v>161</v>
      </c>
      <c r="G164" s="8">
        <v>1.0</v>
      </c>
      <c r="H164" s="8">
        <v>3800.0</v>
      </c>
      <c r="I164" s="8">
        <v>2500.0</v>
      </c>
      <c r="J164" s="10" t="str">
        <f t="shared" si="3"/>
        <v>Posadas</v>
      </c>
      <c r="K164" s="11">
        <f t="shared" si="4"/>
        <v>1</v>
      </c>
      <c r="L164" s="10" t="str">
        <f t="shared" ref="L164:M164" si="170">PROPER(E164)</f>
        <v>Ana Martinez</v>
      </c>
      <c r="M164" s="10" t="str">
        <f t="shared" si="170"/>
        <v>Yerba Mate Premium 1Kg</v>
      </c>
      <c r="N164" s="10" t="str">
        <f t="array" ref="N164">IFERROR(_xlfn.XLOOKUP(M164, Maestro_productos_15!$B:$B, Maestro_productos_15!$D:$D), "No encontrado")</f>
        <v>Cooperativa Neike</v>
      </c>
      <c r="O164" s="10" t="str">
        <f t="array" ref="O164">IFERROR(_xlfn.XLOOKUP(M164,Maestro_productos_15!$B:$B,Maestro_productos_15!$C:$C), "Sin Categoria")</f>
        <v>Alimentos</v>
      </c>
      <c r="P164" s="11">
        <f t="shared" si="6"/>
        <v>3800</v>
      </c>
      <c r="Q164" s="11">
        <f t="shared" si="7"/>
        <v>2500</v>
      </c>
      <c r="R164" s="11">
        <f t="shared" si="8"/>
        <v>1300</v>
      </c>
      <c r="S164" s="15">
        <f t="shared" si="9"/>
        <v>76</v>
      </c>
    </row>
    <row r="165" ht="22.5" customHeight="1">
      <c r="A165" s="5" t="s">
        <v>287</v>
      </c>
      <c r="B165" s="8">
        <f t="shared" si="2"/>
        <v>8</v>
      </c>
      <c r="C165" s="6">
        <v>46045.0</v>
      </c>
      <c r="D165" s="5" t="s">
        <v>108</v>
      </c>
      <c r="E165" s="5" t="s">
        <v>106</v>
      </c>
      <c r="F165" s="7" t="s">
        <v>60</v>
      </c>
      <c r="G165" s="8">
        <v>3.0</v>
      </c>
      <c r="H165" s="8">
        <v>15000.0</v>
      </c>
      <c r="I165" s="8">
        <v>9500.0</v>
      </c>
      <c r="J165" s="10" t="str">
        <f t="shared" si="3"/>
        <v>Corrientes</v>
      </c>
      <c r="K165" s="11">
        <f t="shared" si="4"/>
        <v>3</v>
      </c>
      <c r="L165" s="10" t="str">
        <f t="shared" ref="L165:M165" si="171">PROPER(E165)</f>
        <v>Ana Martinez</v>
      </c>
      <c r="M165" s="10" t="str">
        <f t="shared" si="171"/>
        <v>Mouse Inalámbrico Ergonómico</v>
      </c>
      <c r="N165" s="10" t="str">
        <f t="array" ref="N165">IFERROR(_xlfn.XLOOKUP(M165, Maestro_productos_15!$B:$B, Maestro_productos_15!$D:$D), "No encontrado")</f>
        <v>TechImport S.R.L.</v>
      </c>
      <c r="O165" s="10" t="str">
        <f t="array" ref="O165">IFERROR(_xlfn.XLOOKUP(M165,Maestro_productos_15!$B:$B,Maestro_productos_15!$C:$C), "Sin Categoria")</f>
        <v>Tecnología</v>
      </c>
      <c r="P165" s="11">
        <f t="shared" si="6"/>
        <v>45000</v>
      </c>
      <c r="Q165" s="11">
        <f t="shared" si="7"/>
        <v>28500</v>
      </c>
      <c r="R165" s="11">
        <f t="shared" si="8"/>
        <v>16500</v>
      </c>
      <c r="S165" s="15">
        <f t="shared" si="9"/>
        <v>900</v>
      </c>
    </row>
    <row r="166" ht="22.5" customHeight="1">
      <c r="A166" s="5" t="s">
        <v>288</v>
      </c>
      <c r="B166" s="8">
        <f t="shared" si="2"/>
        <v>8</v>
      </c>
      <c r="C166" s="6">
        <v>46026.0</v>
      </c>
      <c r="D166" s="5" t="s">
        <v>103</v>
      </c>
      <c r="E166" s="5" t="s">
        <v>115</v>
      </c>
      <c r="F166" s="7" t="s">
        <v>46</v>
      </c>
      <c r="G166" s="8">
        <v>5.0</v>
      </c>
      <c r="H166" s="8">
        <v>18500.0</v>
      </c>
      <c r="I166" s="8">
        <v>12500.0</v>
      </c>
      <c r="J166" s="10" t="str">
        <f t="shared" si="3"/>
        <v>Formosa</v>
      </c>
      <c r="K166" s="11">
        <f t="shared" si="4"/>
        <v>5</v>
      </c>
      <c r="L166" s="10" t="str">
        <f t="shared" ref="L166:M166" si="172">PROPER(E166)</f>
        <v>Juan Perez</v>
      </c>
      <c r="M166" s="10" t="str">
        <f t="shared" si="172"/>
        <v>Café En Grano Intenso 1Kg</v>
      </c>
      <c r="N166" s="10" t="str">
        <f t="array" ref="N166">IFERROR(_xlfn.XLOOKUP(M166, Maestro_productos_15!$B:$B, Maestro_productos_15!$D:$D), "No encontrado")</f>
        <v>Distribuidora del Nordeste</v>
      </c>
      <c r="O166" s="10" t="str">
        <f t="array" ref="O166">IFERROR(_xlfn.XLOOKUP(M166,Maestro_productos_15!$B:$B,Maestro_productos_15!$C:$C), "Sin Categoria")</f>
        <v>Alimentos</v>
      </c>
      <c r="P166" s="11">
        <f t="shared" si="6"/>
        <v>92500</v>
      </c>
      <c r="Q166" s="11">
        <f t="shared" si="7"/>
        <v>62500</v>
      </c>
      <c r="R166" s="11">
        <f t="shared" si="8"/>
        <v>30000</v>
      </c>
      <c r="S166" s="15">
        <f t="shared" si="9"/>
        <v>1850</v>
      </c>
    </row>
    <row r="167" ht="22.5" customHeight="1">
      <c r="A167" s="5" t="s">
        <v>289</v>
      </c>
      <c r="B167" s="8">
        <f t="shared" si="2"/>
        <v>8</v>
      </c>
      <c r="C167" s="6">
        <v>46109.0</v>
      </c>
      <c r="D167" s="5" t="s">
        <v>108</v>
      </c>
      <c r="E167" s="5" t="s">
        <v>115</v>
      </c>
      <c r="F167" s="7" t="s">
        <v>171</v>
      </c>
      <c r="G167" s="8">
        <v>6.0</v>
      </c>
      <c r="H167" s="8">
        <v>18500.0</v>
      </c>
      <c r="I167" s="8">
        <v>12500.0</v>
      </c>
      <c r="J167" s="10" t="str">
        <f t="shared" si="3"/>
        <v>Corrientes</v>
      </c>
      <c r="K167" s="11">
        <f t="shared" si="4"/>
        <v>6</v>
      </c>
      <c r="L167" s="10" t="str">
        <f t="shared" ref="L167:M167" si="173">PROPER(E167)</f>
        <v>Juan Perez</v>
      </c>
      <c r="M167" s="10" t="str">
        <f t="shared" si="173"/>
        <v>Café En Grano Intenso 1Kg</v>
      </c>
      <c r="N167" s="10" t="str">
        <f t="array" ref="N167">IFERROR(_xlfn.XLOOKUP(M167, Maestro_productos_15!$B:$B, Maestro_productos_15!$D:$D), "No encontrado")</f>
        <v>Distribuidora del Nordeste</v>
      </c>
      <c r="O167" s="10" t="str">
        <f t="array" ref="O167">IFERROR(_xlfn.XLOOKUP(M167,Maestro_productos_15!$B:$B,Maestro_productos_15!$C:$C), "Sin Categoria")</f>
        <v>Alimentos</v>
      </c>
      <c r="P167" s="11">
        <f t="shared" si="6"/>
        <v>111000</v>
      </c>
      <c r="Q167" s="11">
        <f t="shared" si="7"/>
        <v>75000</v>
      </c>
      <c r="R167" s="11">
        <f t="shared" si="8"/>
        <v>36000</v>
      </c>
      <c r="S167" s="15">
        <f t="shared" si="9"/>
        <v>2220</v>
      </c>
    </row>
    <row r="168" ht="22.5" customHeight="1">
      <c r="A168" s="5" t="s">
        <v>290</v>
      </c>
      <c r="B168" s="8">
        <f t="shared" si="2"/>
        <v>8</v>
      </c>
      <c r="C168" s="6">
        <v>46075.0</v>
      </c>
      <c r="D168" s="5" t="s">
        <v>102</v>
      </c>
      <c r="E168" s="5" t="s">
        <v>106</v>
      </c>
      <c r="F168" s="7" t="s">
        <v>42</v>
      </c>
      <c r="G168" s="8">
        <v>19.0</v>
      </c>
      <c r="H168" s="8">
        <v>45000.0</v>
      </c>
      <c r="I168" s="8">
        <v>30000.0</v>
      </c>
      <c r="J168" s="10" t="str">
        <f t="shared" si="3"/>
        <v>Resistencia</v>
      </c>
      <c r="K168" s="11">
        <f t="shared" si="4"/>
        <v>19</v>
      </c>
      <c r="L168" s="10" t="str">
        <f t="shared" ref="L168:M168" si="174">PROPER(E168)</f>
        <v>Ana Martinez</v>
      </c>
      <c r="M168" s="10" t="str">
        <f t="shared" si="174"/>
        <v>Teclado Mecánico Rgb</v>
      </c>
      <c r="N168" s="10" t="str">
        <f t="array" ref="N168">IFERROR(_xlfn.XLOOKUP(M168, Maestro_productos_15!$B:$B, Maestro_productos_15!$D:$D), "No encontrado")</f>
        <v>TechImport S.R.L.</v>
      </c>
      <c r="O168" s="10" t="str">
        <f t="array" ref="O168">IFERROR(_xlfn.XLOOKUP(M168,Maestro_productos_15!$B:$B,Maestro_productos_15!$C:$C), "Sin Categoria")</f>
        <v>Tecnología</v>
      </c>
      <c r="P168" s="11">
        <f t="shared" si="6"/>
        <v>855000</v>
      </c>
      <c r="Q168" s="11">
        <f t="shared" si="7"/>
        <v>570000</v>
      </c>
      <c r="R168" s="11">
        <f t="shared" si="8"/>
        <v>285000</v>
      </c>
      <c r="S168" s="15">
        <f t="shared" si="9"/>
        <v>34200</v>
      </c>
    </row>
    <row r="169" ht="22.5" customHeight="1">
      <c r="A169" s="5" t="s">
        <v>291</v>
      </c>
      <c r="B169" s="8">
        <f t="shared" si="2"/>
        <v>8</v>
      </c>
      <c r="C169" s="6">
        <v>46087.0</v>
      </c>
      <c r="D169" s="5" t="s">
        <v>133</v>
      </c>
      <c r="E169" s="5" t="s">
        <v>127</v>
      </c>
      <c r="F169" s="7" t="s">
        <v>34</v>
      </c>
      <c r="G169" s="8">
        <v>3.0</v>
      </c>
      <c r="H169" s="8">
        <v>4800.0</v>
      </c>
      <c r="I169" s="8">
        <v>2700.0</v>
      </c>
      <c r="J169" s="10" t="str">
        <f t="shared" si="3"/>
        <v>Resistencia</v>
      </c>
      <c r="K169" s="11">
        <f t="shared" si="4"/>
        <v>3</v>
      </c>
      <c r="L169" s="10" t="str">
        <f t="shared" ref="L169:M169" si="175">PROPER(E169)</f>
        <v>Carlos Ruiz</v>
      </c>
      <c r="M169" s="10" t="str">
        <f t="shared" si="175"/>
        <v>Juguete Mordillo Goma</v>
      </c>
      <c r="N169" s="10" t="str">
        <f t="array" ref="N169">IFERROR(_xlfn.XLOOKUP(M169, Maestro_productos_15!$B:$B, Maestro_productos_15!$D:$D), "No encontrado")</f>
        <v>PetStyle Litoral</v>
      </c>
      <c r="O169" s="10" t="str">
        <f t="array" ref="O169">IFERROR(_xlfn.XLOOKUP(M169,Maestro_productos_15!$B:$B,Maestro_productos_15!$C:$C), "Sin Categoria")</f>
        <v>Mascotas</v>
      </c>
      <c r="P169" s="11">
        <f t="shared" si="6"/>
        <v>14400</v>
      </c>
      <c r="Q169" s="11">
        <f t="shared" si="7"/>
        <v>8100</v>
      </c>
      <c r="R169" s="11">
        <f t="shared" si="8"/>
        <v>6300</v>
      </c>
      <c r="S169" s="15">
        <f t="shared" si="9"/>
        <v>288</v>
      </c>
    </row>
    <row r="170" ht="22.5" customHeight="1">
      <c r="A170" s="5" t="s">
        <v>292</v>
      </c>
      <c r="B170" s="8">
        <f t="shared" si="2"/>
        <v>8</v>
      </c>
      <c r="C170" s="6">
        <v>46050.0</v>
      </c>
      <c r="D170" s="5" t="s">
        <v>133</v>
      </c>
      <c r="E170" s="5" t="s">
        <v>127</v>
      </c>
      <c r="F170" s="7" t="s">
        <v>101</v>
      </c>
      <c r="G170" s="8">
        <v>20.0</v>
      </c>
      <c r="H170" s="8">
        <v>32000.0</v>
      </c>
      <c r="I170" s="8">
        <v>21000.0</v>
      </c>
      <c r="J170" s="10" t="str">
        <f t="shared" si="3"/>
        <v>Resistencia</v>
      </c>
      <c r="K170" s="11">
        <f t="shared" si="4"/>
        <v>20</v>
      </c>
      <c r="L170" s="10" t="str">
        <f t="shared" ref="L170:M170" si="176">PROPER(E170)</f>
        <v>Carlos Ruiz</v>
      </c>
      <c r="M170" s="10" t="str">
        <f t="shared" si="176"/>
        <v>Termo Acero Inoxidable 1.3L</v>
      </c>
      <c r="N170" s="10" t="str">
        <f t="array" ref="N170">IFERROR(_xlfn.XLOOKUP(M170, Maestro_productos_15!$B:$B, Maestro_productos_15!$D:$D), "No encontrado")</f>
        <v>Distribuidora del Nordeste</v>
      </c>
      <c r="O170" s="10" t="str">
        <f t="array" ref="O170">IFERROR(_xlfn.XLOOKUP(M170,Maestro_productos_15!$B:$B,Maestro_productos_15!$C:$C), "Sin Categoria")</f>
        <v>Bazar</v>
      </c>
      <c r="P170" s="11">
        <f t="shared" si="6"/>
        <v>640000</v>
      </c>
      <c r="Q170" s="11">
        <f t="shared" si="7"/>
        <v>420000</v>
      </c>
      <c r="R170" s="11">
        <f t="shared" si="8"/>
        <v>220000</v>
      </c>
      <c r="S170" s="15">
        <f t="shared" si="9"/>
        <v>25600</v>
      </c>
    </row>
    <row r="171" ht="22.5" customHeight="1">
      <c r="A171" s="5" t="s">
        <v>293</v>
      </c>
      <c r="B171" s="8">
        <f t="shared" si="2"/>
        <v>8</v>
      </c>
      <c r="C171" s="6">
        <v>46103.0</v>
      </c>
      <c r="D171" s="5" t="s">
        <v>133</v>
      </c>
      <c r="E171" s="5" t="s">
        <v>90</v>
      </c>
      <c r="F171" s="7" t="s">
        <v>19</v>
      </c>
      <c r="G171" s="8">
        <v>2.0</v>
      </c>
      <c r="H171" s="8">
        <v>28000.0</v>
      </c>
      <c r="I171" s="8">
        <v>18000.0</v>
      </c>
      <c r="J171" s="10" t="str">
        <f t="shared" si="3"/>
        <v>Resistencia</v>
      </c>
      <c r="K171" s="11">
        <f t="shared" si="4"/>
        <v>2</v>
      </c>
      <c r="L171" s="10" t="str">
        <f t="shared" ref="L171:M171" si="177">PROPER(E171)</f>
        <v>Ana Martinez</v>
      </c>
      <c r="M171" s="10" t="str">
        <f t="shared" si="177"/>
        <v>Auriculares Bluetooth Pro</v>
      </c>
      <c r="N171" s="10" t="str">
        <f t="array" ref="N171">IFERROR(_xlfn.XLOOKUP(M171, Maestro_productos_15!$B:$B, Maestro_productos_15!$D:$D), "No encontrado")</f>
        <v>TechImport S.R.L.</v>
      </c>
      <c r="O171" s="10" t="str">
        <f t="array" ref="O171">IFERROR(_xlfn.XLOOKUP(M171,Maestro_productos_15!$B:$B,Maestro_productos_15!$C:$C), "Sin Categoria")</f>
        <v>Tecnología</v>
      </c>
      <c r="P171" s="11">
        <f t="shared" si="6"/>
        <v>56000</v>
      </c>
      <c r="Q171" s="11">
        <f t="shared" si="7"/>
        <v>36000</v>
      </c>
      <c r="R171" s="11">
        <f t="shared" si="8"/>
        <v>20000</v>
      </c>
      <c r="S171" s="15">
        <f t="shared" si="9"/>
        <v>2240</v>
      </c>
    </row>
    <row r="172" ht="22.5" customHeight="1">
      <c r="A172" s="5" t="s">
        <v>294</v>
      </c>
      <c r="B172" s="8">
        <f t="shared" si="2"/>
        <v>8</v>
      </c>
      <c r="C172" s="6">
        <v>46073.0</v>
      </c>
      <c r="D172" s="5" t="s">
        <v>133</v>
      </c>
      <c r="E172" s="5" t="s">
        <v>90</v>
      </c>
      <c r="F172" s="7" t="s">
        <v>42</v>
      </c>
      <c r="G172" s="8">
        <v>3.0</v>
      </c>
      <c r="H172" s="8">
        <v>45000.0</v>
      </c>
      <c r="I172" s="8">
        <v>30000.0</v>
      </c>
      <c r="J172" s="10" t="str">
        <f t="shared" si="3"/>
        <v>Resistencia</v>
      </c>
      <c r="K172" s="11">
        <f t="shared" si="4"/>
        <v>3</v>
      </c>
      <c r="L172" s="10" t="str">
        <f t="shared" ref="L172:M172" si="178">PROPER(E172)</f>
        <v>Ana Martinez</v>
      </c>
      <c r="M172" s="10" t="str">
        <f t="shared" si="178"/>
        <v>Teclado Mecánico Rgb</v>
      </c>
      <c r="N172" s="10" t="str">
        <f t="array" ref="N172">IFERROR(_xlfn.XLOOKUP(M172, Maestro_productos_15!$B:$B, Maestro_productos_15!$D:$D), "No encontrado")</f>
        <v>TechImport S.R.L.</v>
      </c>
      <c r="O172" s="10" t="str">
        <f t="array" ref="O172">IFERROR(_xlfn.XLOOKUP(M172,Maestro_productos_15!$B:$B,Maestro_productos_15!$C:$C), "Sin Categoria")</f>
        <v>Tecnología</v>
      </c>
      <c r="P172" s="11">
        <f t="shared" si="6"/>
        <v>135000</v>
      </c>
      <c r="Q172" s="11">
        <f t="shared" si="7"/>
        <v>90000</v>
      </c>
      <c r="R172" s="11">
        <f t="shared" si="8"/>
        <v>45000</v>
      </c>
      <c r="S172" s="15">
        <f t="shared" si="9"/>
        <v>5400</v>
      </c>
    </row>
    <row r="173" ht="22.5" customHeight="1">
      <c r="A173" s="5" t="s">
        <v>295</v>
      </c>
      <c r="B173" s="8">
        <f t="shared" si="2"/>
        <v>8</v>
      </c>
      <c r="C173" s="6">
        <v>46065.0</v>
      </c>
      <c r="D173" s="5" t="s">
        <v>102</v>
      </c>
      <c r="E173" s="5" t="s">
        <v>127</v>
      </c>
      <c r="F173" s="7" t="s">
        <v>7</v>
      </c>
      <c r="G173" s="8">
        <v>18.0</v>
      </c>
      <c r="H173" s="8">
        <v>3800.0</v>
      </c>
      <c r="I173" s="8">
        <v>2500.0</v>
      </c>
      <c r="J173" s="10" t="str">
        <f t="shared" si="3"/>
        <v>Resistencia</v>
      </c>
      <c r="K173" s="11">
        <f t="shared" si="4"/>
        <v>18</v>
      </c>
      <c r="L173" s="10" t="str">
        <f t="shared" ref="L173:M173" si="179">PROPER(E173)</f>
        <v>Carlos Ruiz</v>
      </c>
      <c r="M173" s="10" t="str">
        <f t="shared" si="179"/>
        <v>Yerba Mate Premium 1Kg</v>
      </c>
      <c r="N173" s="10" t="str">
        <f t="array" ref="N173">IFERROR(_xlfn.XLOOKUP(M173, Maestro_productos_15!$B:$B, Maestro_productos_15!$D:$D), "No encontrado")</f>
        <v>Cooperativa Neike</v>
      </c>
      <c r="O173" s="10" t="str">
        <f t="array" ref="O173">IFERROR(_xlfn.XLOOKUP(M173,Maestro_productos_15!$B:$B,Maestro_productos_15!$C:$C), "Sin Categoria")</f>
        <v>Alimentos</v>
      </c>
      <c r="P173" s="11">
        <f t="shared" si="6"/>
        <v>68400</v>
      </c>
      <c r="Q173" s="11">
        <f t="shared" si="7"/>
        <v>45000</v>
      </c>
      <c r="R173" s="11">
        <f t="shared" si="8"/>
        <v>23400</v>
      </c>
      <c r="S173" s="15">
        <f t="shared" si="9"/>
        <v>1368</v>
      </c>
    </row>
    <row r="174" ht="22.5" customHeight="1">
      <c r="A174" s="5" t="s">
        <v>296</v>
      </c>
      <c r="B174" s="8">
        <f t="shared" si="2"/>
        <v>8</v>
      </c>
      <c r="C174" s="6">
        <v>46050.0</v>
      </c>
      <c r="D174" s="5" t="s">
        <v>133</v>
      </c>
      <c r="E174" s="5" t="s">
        <v>127</v>
      </c>
      <c r="F174" s="7" t="s">
        <v>56</v>
      </c>
      <c r="G174" s="8">
        <v>4.0</v>
      </c>
      <c r="H174" s="8">
        <v>32000.0</v>
      </c>
      <c r="I174" s="8">
        <v>21000.0</v>
      </c>
      <c r="J174" s="10" t="str">
        <f t="shared" si="3"/>
        <v>Resistencia</v>
      </c>
      <c r="K174" s="11">
        <f t="shared" si="4"/>
        <v>4</v>
      </c>
      <c r="L174" s="10" t="str">
        <f t="shared" ref="L174:M174" si="180">PROPER(E174)</f>
        <v>Carlos Ruiz</v>
      </c>
      <c r="M174" s="10" t="str">
        <f t="shared" si="180"/>
        <v>Termo Acero Inoxidable 1.3L</v>
      </c>
      <c r="N174" s="10" t="str">
        <f t="array" ref="N174">IFERROR(_xlfn.XLOOKUP(M174, Maestro_productos_15!$B:$B, Maestro_productos_15!$D:$D), "No encontrado")</f>
        <v>Distribuidora del Nordeste</v>
      </c>
      <c r="O174" s="10" t="str">
        <f t="array" ref="O174">IFERROR(_xlfn.XLOOKUP(M174,Maestro_productos_15!$B:$B,Maestro_productos_15!$C:$C), "Sin Categoria")</f>
        <v>Bazar</v>
      </c>
      <c r="P174" s="11">
        <f t="shared" si="6"/>
        <v>128000</v>
      </c>
      <c r="Q174" s="11">
        <f t="shared" si="7"/>
        <v>84000</v>
      </c>
      <c r="R174" s="11">
        <f t="shared" si="8"/>
        <v>44000</v>
      </c>
      <c r="S174" s="15">
        <f t="shared" si="9"/>
        <v>5120</v>
      </c>
    </row>
    <row r="175" ht="22.5" customHeight="1">
      <c r="A175" s="5" t="s">
        <v>297</v>
      </c>
      <c r="B175" s="8">
        <f t="shared" si="2"/>
        <v>8</v>
      </c>
      <c r="C175" s="6">
        <v>46030.0</v>
      </c>
      <c r="D175" s="5" t="s">
        <v>103</v>
      </c>
      <c r="E175" s="5" t="s">
        <v>127</v>
      </c>
      <c r="F175" s="7" t="s">
        <v>7</v>
      </c>
      <c r="G175" s="8">
        <v>7.0</v>
      </c>
      <c r="H175" s="8">
        <v>3800.0</v>
      </c>
      <c r="I175" s="8">
        <v>2500.0</v>
      </c>
      <c r="J175" s="10" t="str">
        <f t="shared" si="3"/>
        <v>Formosa</v>
      </c>
      <c r="K175" s="11">
        <f t="shared" si="4"/>
        <v>7</v>
      </c>
      <c r="L175" s="10" t="str">
        <f t="shared" ref="L175:M175" si="181">PROPER(E175)</f>
        <v>Carlos Ruiz</v>
      </c>
      <c r="M175" s="10" t="str">
        <f t="shared" si="181"/>
        <v>Yerba Mate Premium 1Kg</v>
      </c>
      <c r="N175" s="10" t="str">
        <f t="array" ref="N175">IFERROR(_xlfn.XLOOKUP(M175, Maestro_productos_15!$B:$B, Maestro_productos_15!$D:$D), "No encontrado")</f>
        <v>Cooperativa Neike</v>
      </c>
      <c r="O175" s="10" t="str">
        <f t="array" ref="O175">IFERROR(_xlfn.XLOOKUP(M175,Maestro_productos_15!$B:$B,Maestro_productos_15!$C:$C), "Sin Categoria")</f>
        <v>Alimentos</v>
      </c>
      <c r="P175" s="11">
        <f t="shared" si="6"/>
        <v>26600</v>
      </c>
      <c r="Q175" s="11">
        <f t="shared" si="7"/>
        <v>17500</v>
      </c>
      <c r="R175" s="11">
        <f t="shared" si="8"/>
        <v>9100</v>
      </c>
      <c r="S175" s="15">
        <f t="shared" si="9"/>
        <v>532</v>
      </c>
    </row>
    <row r="176" ht="22.5" customHeight="1">
      <c r="A176" s="5" t="s">
        <v>298</v>
      </c>
      <c r="B176" s="8">
        <f t="shared" si="2"/>
        <v>8</v>
      </c>
      <c r="C176" s="6">
        <v>46072.0</v>
      </c>
      <c r="D176" s="5" t="s">
        <v>133</v>
      </c>
      <c r="E176" s="5" t="s">
        <v>141</v>
      </c>
      <c r="F176" s="7" t="s">
        <v>64</v>
      </c>
      <c r="G176" s="8">
        <v>4.0</v>
      </c>
      <c r="H176" s="8">
        <v>6200.0</v>
      </c>
      <c r="I176" s="8">
        <v>3800.0</v>
      </c>
      <c r="J176" s="10" t="str">
        <f t="shared" si="3"/>
        <v>Resistencia</v>
      </c>
      <c r="K176" s="11">
        <f t="shared" si="4"/>
        <v>4</v>
      </c>
      <c r="L176" s="10" t="str">
        <f t="shared" ref="L176:M176" si="182">PROPER(E176)</f>
        <v>Carlos Ruiz</v>
      </c>
      <c r="M176" s="10" t="str">
        <f t="shared" si="182"/>
        <v>Shampoo Canino Neutro 500Ml</v>
      </c>
      <c r="N176" s="10" t="str">
        <f t="array" ref="N176">IFERROR(_xlfn.XLOOKUP(M176, Maestro_productos_15!$B:$B, Maestro_productos_15!$D:$D), "No encontrado")</f>
        <v>PetStyle Litoral</v>
      </c>
      <c r="O176" s="10" t="str">
        <f t="array" ref="O176">IFERROR(_xlfn.XLOOKUP(M176,Maestro_productos_15!$B:$B,Maestro_productos_15!$C:$C), "Sin Categoria")</f>
        <v>Mascotas</v>
      </c>
      <c r="P176" s="11">
        <f t="shared" si="6"/>
        <v>24800</v>
      </c>
      <c r="Q176" s="11">
        <f t="shared" si="7"/>
        <v>15200</v>
      </c>
      <c r="R176" s="11">
        <f t="shared" si="8"/>
        <v>9600</v>
      </c>
      <c r="S176" s="15">
        <f t="shared" si="9"/>
        <v>496</v>
      </c>
    </row>
    <row r="177" ht="22.5" customHeight="1">
      <c r="A177" s="5" t="s">
        <v>299</v>
      </c>
      <c r="B177" s="8">
        <f t="shared" si="2"/>
        <v>8</v>
      </c>
      <c r="C177" s="6">
        <v>46043.0</v>
      </c>
      <c r="D177" s="5" t="s">
        <v>108</v>
      </c>
      <c r="E177" s="5" t="s">
        <v>90</v>
      </c>
      <c r="F177" s="7" t="s">
        <v>92</v>
      </c>
      <c r="G177" s="8">
        <v>3.0</v>
      </c>
      <c r="H177" s="8">
        <v>8500.0</v>
      </c>
      <c r="I177" s="8">
        <v>4800.0</v>
      </c>
      <c r="J177" s="10" t="str">
        <f t="shared" si="3"/>
        <v>Corrientes</v>
      </c>
      <c r="K177" s="11">
        <f t="shared" si="4"/>
        <v>3</v>
      </c>
      <c r="L177" s="10" t="str">
        <f t="shared" ref="L177:M177" si="183">PROPER(E177)</f>
        <v>Ana Martinez</v>
      </c>
      <c r="M177" s="10" t="str">
        <f t="shared" si="183"/>
        <v>Mates De Madera Calada</v>
      </c>
      <c r="N177" s="10" t="str">
        <f t="array" ref="N177">IFERROR(_xlfn.XLOOKUP(M177, Maestro_productos_15!$B:$B, Maestro_productos_15!$D:$D), "No encontrado")</f>
        <v>Artesanías Guaraníes</v>
      </c>
      <c r="O177" s="10" t="str">
        <f t="array" ref="O177">IFERROR(_xlfn.XLOOKUP(M177,Maestro_productos_15!$B:$B,Maestro_productos_15!$C:$C), "Sin Categoria")</f>
        <v>Bazar</v>
      </c>
      <c r="P177" s="11">
        <f t="shared" si="6"/>
        <v>25500</v>
      </c>
      <c r="Q177" s="11">
        <f t="shared" si="7"/>
        <v>14400</v>
      </c>
      <c r="R177" s="11">
        <f t="shared" si="8"/>
        <v>11100</v>
      </c>
      <c r="S177" s="15">
        <f t="shared" si="9"/>
        <v>510</v>
      </c>
    </row>
    <row r="178" ht="22.5" customHeight="1">
      <c r="A178" s="5" t="s">
        <v>300</v>
      </c>
      <c r="B178" s="8">
        <f t="shared" si="2"/>
        <v>8</v>
      </c>
      <c r="C178" s="6">
        <v>46112.0</v>
      </c>
      <c r="D178" s="5" t="s">
        <v>88</v>
      </c>
      <c r="E178" s="5" t="s">
        <v>90</v>
      </c>
      <c r="F178" s="7" t="s">
        <v>7</v>
      </c>
      <c r="G178" s="8">
        <v>5.0</v>
      </c>
      <c r="H178" s="8">
        <v>3800.0</v>
      </c>
      <c r="I178" s="8">
        <v>2500.0</v>
      </c>
      <c r="J178" s="10" t="str">
        <f t="shared" si="3"/>
        <v>Corrientes</v>
      </c>
      <c r="K178" s="11">
        <f t="shared" si="4"/>
        <v>5</v>
      </c>
      <c r="L178" s="10" t="str">
        <f t="shared" ref="L178:M178" si="184">PROPER(E178)</f>
        <v>Ana Martinez</v>
      </c>
      <c r="M178" s="10" t="str">
        <f t="shared" si="184"/>
        <v>Yerba Mate Premium 1Kg</v>
      </c>
      <c r="N178" s="10" t="str">
        <f t="array" ref="N178">IFERROR(_xlfn.XLOOKUP(M178, Maestro_productos_15!$B:$B, Maestro_productos_15!$D:$D), "No encontrado")</f>
        <v>Cooperativa Neike</v>
      </c>
      <c r="O178" s="10" t="str">
        <f t="array" ref="O178">IFERROR(_xlfn.XLOOKUP(M178,Maestro_productos_15!$B:$B,Maestro_productos_15!$C:$C), "Sin Categoria")</f>
        <v>Alimentos</v>
      </c>
      <c r="P178" s="11">
        <f t="shared" si="6"/>
        <v>19000</v>
      </c>
      <c r="Q178" s="11">
        <f t="shared" si="7"/>
        <v>12500</v>
      </c>
      <c r="R178" s="11">
        <f t="shared" si="8"/>
        <v>6500</v>
      </c>
      <c r="S178" s="15">
        <f t="shared" si="9"/>
        <v>380</v>
      </c>
    </row>
    <row r="179" ht="22.5" customHeight="1">
      <c r="A179" s="5" t="s">
        <v>301</v>
      </c>
      <c r="B179" s="8">
        <f t="shared" si="2"/>
        <v>8</v>
      </c>
      <c r="C179" s="6">
        <v>46031.0</v>
      </c>
      <c r="D179" s="5" t="s">
        <v>118</v>
      </c>
      <c r="E179" s="5" t="s">
        <v>100</v>
      </c>
      <c r="F179" s="7" t="s">
        <v>25</v>
      </c>
      <c r="G179" s="8">
        <v>22.0</v>
      </c>
      <c r="H179" s="8">
        <v>19500.0</v>
      </c>
      <c r="I179" s="8">
        <v>12000.0</v>
      </c>
      <c r="J179" s="10" t="str">
        <f t="shared" si="3"/>
        <v>Posadas</v>
      </c>
      <c r="K179" s="11">
        <f t="shared" si="4"/>
        <v>22</v>
      </c>
      <c r="L179" s="10" t="str">
        <f t="shared" ref="L179:M179" si="185">PROPER(E179)</f>
        <v>Juan Perez</v>
      </c>
      <c r="M179" s="10" t="str">
        <f t="shared" si="185"/>
        <v>Soporte Regulable Notebook</v>
      </c>
      <c r="N179" s="10" t="str">
        <f t="array" ref="N179">IFERROR(_xlfn.XLOOKUP(M179, Maestro_productos_15!$B:$B, Maestro_productos_15!$D:$D), "No encontrado")</f>
        <v>TechImport S.R.L.</v>
      </c>
      <c r="O179" s="10" t="str">
        <f t="array" ref="O179">IFERROR(_xlfn.XLOOKUP(M179,Maestro_productos_15!$B:$B,Maestro_productos_15!$C:$C), "Sin Categoria")</f>
        <v>Tecnología</v>
      </c>
      <c r="P179" s="11">
        <f t="shared" si="6"/>
        <v>429000</v>
      </c>
      <c r="Q179" s="11">
        <f t="shared" si="7"/>
        <v>264000</v>
      </c>
      <c r="R179" s="11">
        <f t="shared" si="8"/>
        <v>165000</v>
      </c>
      <c r="S179" s="15">
        <f t="shared" si="9"/>
        <v>8580</v>
      </c>
    </row>
    <row r="180" ht="22.5" customHeight="1">
      <c r="A180" s="5" t="s">
        <v>302</v>
      </c>
      <c r="B180" s="8">
        <f t="shared" si="2"/>
        <v>8</v>
      </c>
      <c r="C180" s="6">
        <v>46050.0</v>
      </c>
      <c r="D180" s="5" t="s">
        <v>102</v>
      </c>
      <c r="E180" s="5" t="s">
        <v>127</v>
      </c>
      <c r="F180" s="7" t="s">
        <v>71</v>
      </c>
      <c r="G180" s="8">
        <v>4.0</v>
      </c>
      <c r="H180" s="8">
        <v>22000.0</v>
      </c>
      <c r="I180" s="8">
        <v>14000.0</v>
      </c>
      <c r="J180" s="10" t="str">
        <f t="shared" si="3"/>
        <v>Resistencia</v>
      </c>
      <c r="K180" s="11">
        <f t="shared" si="4"/>
        <v>4</v>
      </c>
      <c r="L180" s="10" t="str">
        <f t="shared" ref="L180:M180" si="186">PROPER(E180)</f>
        <v>Carlos Ruiz</v>
      </c>
      <c r="M180" s="10" t="str">
        <f t="shared" si="186"/>
        <v>Cargador Rápido Usb-C 65W</v>
      </c>
      <c r="N180" s="10" t="str">
        <f t="array" ref="N180">IFERROR(_xlfn.XLOOKUP(M180, Maestro_productos_15!$B:$B, Maestro_productos_15!$D:$D), "No encontrado")</f>
        <v>TechImport S.R.L.</v>
      </c>
      <c r="O180" s="10" t="str">
        <f t="array" ref="O180">IFERROR(_xlfn.XLOOKUP(M180,Maestro_productos_15!$B:$B,Maestro_productos_15!$C:$C), "Sin Categoria")</f>
        <v>Tecnología</v>
      </c>
      <c r="P180" s="11">
        <f t="shared" si="6"/>
        <v>88000</v>
      </c>
      <c r="Q180" s="11">
        <f t="shared" si="7"/>
        <v>56000</v>
      </c>
      <c r="R180" s="11">
        <f t="shared" si="8"/>
        <v>32000</v>
      </c>
      <c r="S180" s="15">
        <f t="shared" si="9"/>
        <v>1760</v>
      </c>
    </row>
    <row r="181" ht="22.5" customHeight="1">
      <c r="A181" s="5" t="s">
        <v>303</v>
      </c>
      <c r="B181" s="8">
        <f t="shared" si="2"/>
        <v>8</v>
      </c>
      <c r="C181" s="6">
        <v>46073.0</v>
      </c>
      <c r="D181" s="5" t="s">
        <v>103</v>
      </c>
      <c r="E181" s="5" t="s">
        <v>100</v>
      </c>
      <c r="F181" s="7" t="s">
        <v>7</v>
      </c>
      <c r="G181" s="8">
        <v>18.0</v>
      </c>
      <c r="H181" s="8">
        <v>3800.0</v>
      </c>
      <c r="I181" s="8">
        <v>2500.0</v>
      </c>
      <c r="J181" s="10" t="str">
        <f t="shared" si="3"/>
        <v>Formosa</v>
      </c>
      <c r="K181" s="11">
        <f t="shared" si="4"/>
        <v>18</v>
      </c>
      <c r="L181" s="10" t="str">
        <f t="shared" ref="L181:M181" si="187">PROPER(E181)</f>
        <v>Juan Perez</v>
      </c>
      <c r="M181" s="10" t="str">
        <f t="shared" si="187"/>
        <v>Yerba Mate Premium 1Kg</v>
      </c>
      <c r="N181" s="10" t="str">
        <f t="array" ref="N181">IFERROR(_xlfn.XLOOKUP(M181, Maestro_productos_15!$B:$B, Maestro_productos_15!$D:$D), "No encontrado")</f>
        <v>Cooperativa Neike</v>
      </c>
      <c r="O181" s="10" t="str">
        <f t="array" ref="O181">IFERROR(_xlfn.XLOOKUP(M181,Maestro_productos_15!$B:$B,Maestro_productos_15!$C:$C), "Sin Categoria")</f>
        <v>Alimentos</v>
      </c>
      <c r="P181" s="11">
        <f t="shared" si="6"/>
        <v>68400</v>
      </c>
      <c r="Q181" s="11">
        <f t="shared" si="7"/>
        <v>45000</v>
      </c>
      <c r="R181" s="11">
        <f t="shared" si="8"/>
        <v>23400</v>
      </c>
      <c r="S181" s="15">
        <f t="shared" si="9"/>
        <v>1368</v>
      </c>
    </row>
    <row r="182" ht="22.5" customHeight="1">
      <c r="A182" s="5" t="s">
        <v>304</v>
      </c>
      <c r="B182" s="8">
        <f t="shared" si="2"/>
        <v>8</v>
      </c>
      <c r="C182" s="6">
        <v>46084.0</v>
      </c>
      <c r="D182" s="5" t="s">
        <v>133</v>
      </c>
      <c r="E182" s="5" t="s">
        <v>106</v>
      </c>
      <c r="F182" s="7" t="s">
        <v>46</v>
      </c>
      <c r="G182" s="8">
        <v>25.0</v>
      </c>
      <c r="H182" s="8">
        <v>18500.0</v>
      </c>
      <c r="I182" s="8">
        <v>12500.0</v>
      </c>
      <c r="J182" s="10" t="str">
        <f t="shared" si="3"/>
        <v>Resistencia</v>
      </c>
      <c r="K182" s="11">
        <f t="shared" si="4"/>
        <v>25</v>
      </c>
      <c r="L182" s="10" t="str">
        <f t="shared" ref="L182:M182" si="188">PROPER(E182)</f>
        <v>Ana Martinez</v>
      </c>
      <c r="M182" s="10" t="str">
        <f t="shared" si="188"/>
        <v>Café En Grano Intenso 1Kg</v>
      </c>
      <c r="N182" s="10" t="str">
        <f t="array" ref="N182">IFERROR(_xlfn.XLOOKUP(M182, Maestro_productos_15!$B:$B, Maestro_productos_15!$D:$D), "No encontrado")</f>
        <v>Distribuidora del Nordeste</v>
      </c>
      <c r="O182" s="10" t="str">
        <f t="array" ref="O182">IFERROR(_xlfn.XLOOKUP(M182,Maestro_productos_15!$B:$B,Maestro_productos_15!$C:$C), "Sin Categoria")</f>
        <v>Alimentos</v>
      </c>
      <c r="P182" s="11">
        <f t="shared" si="6"/>
        <v>462500</v>
      </c>
      <c r="Q182" s="11">
        <f t="shared" si="7"/>
        <v>312500</v>
      </c>
      <c r="R182" s="11">
        <f t="shared" si="8"/>
        <v>150000</v>
      </c>
      <c r="S182" s="15">
        <f t="shared" si="9"/>
        <v>9250</v>
      </c>
    </row>
    <row r="183" ht="22.5" customHeight="1">
      <c r="A183" s="5" t="s">
        <v>305</v>
      </c>
      <c r="B183" s="8">
        <f t="shared" si="2"/>
        <v>8</v>
      </c>
      <c r="C183" s="6">
        <v>46076.0</v>
      </c>
      <c r="D183" s="5" t="s">
        <v>99</v>
      </c>
      <c r="E183" s="5" t="s">
        <v>90</v>
      </c>
      <c r="F183" s="7" t="s">
        <v>257</v>
      </c>
      <c r="G183" s="8">
        <v>9.0</v>
      </c>
      <c r="H183" s="8">
        <v>19500.0</v>
      </c>
      <c r="I183" s="8">
        <v>12000.0</v>
      </c>
      <c r="J183" s="10" t="str">
        <f t="shared" si="3"/>
        <v>Posadas</v>
      </c>
      <c r="K183" s="11">
        <f t="shared" si="4"/>
        <v>9</v>
      </c>
      <c r="L183" s="10" t="str">
        <f t="shared" ref="L183:M183" si="189">PROPER(E183)</f>
        <v>Ana Martinez</v>
      </c>
      <c r="M183" s="10" t="str">
        <f t="shared" si="189"/>
        <v>Soporte Regulable Notebook</v>
      </c>
      <c r="N183" s="10" t="str">
        <f t="array" ref="N183">IFERROR(_xlfn.XLOOKUP(M183, Maestro_productos_15!$B:$B, Maestro_productos_15!$D:$D), "No encontrado")</f>
        <v>TechImport S.R.L.</v>
      </c>
      <c r="O183" s="10" t="str">
        <f t="array" ref="O183">IFERROR(_xlfn.XLOOKUP(M183,Maestro_productos_15!$B:$B,Maestro_productos_15!$C:$C), "Sin Categoria")</f>
        <v>Tecnología</v>
      </c>
      <c r="P183" s="11">
        <f t="shared" si="6"/>
        <v>175500</v>
      </c>
      <c r="Q183" s="11">
        <f t="shared" si="7"/>
        <v>108000</v>
      </c>
      <c r="R183" s="11">
        <f t="shared" si="8"/>
        <v>67500</v>
      </c>
      <c r="S183" s="15">
        <f t="shared" si="9"/>
        <v>3510</v>
      </c>
    </row>
    <row r="184" ht="22.5" customHeight="1">
      <c r="A184" s="5" t="s">
        <v>306</v>
      </c>
      <c r="B184" s="8">
        <f t="shared" si="2"/>
        <v>8</v>
      </c>
      <c r="C184" s="6">
        <v>46031.0</v>
      </c>
      <c r="D184" s="5" t="s">
        <v>102</v>
      </c>
      <c r="E184" s="5" t="s">
        <v>113</v>
      </c>
      <c r="F184" s="7" t="s">
        <v>67</v>
      </c>
      <c r="G184" s="8">
        <v>6.0</v>
      </c>
      <c r="H184" s="8">
        <v>3100.0</v>
      </c>
      <c r="I184" s="8">
        <v>1800.0</v>
      </c>
      <c r="J184" s="10" t="str">
        <f t="shared" si="3"/>
        <v>Resistencia</v>
      </c>
      <c r="K184" s="11">
        <f t="shared" si="4"/>
        <v>6</v>
      </c>
      <c r="L184" s="10" t="str">
        <f t="shared" ref="L184:M184" si="190">PROPER(E184)</f>
        <v>Maria Gomez</v>
      </c>
      <c r="M184" s="10" t="str">
        <f t="shared" si="190"/>
        <v>Snack Premios Perro 250G</v>
      </c>
      <c r="N184" s="10" t="str">
        <f t="array" ref="N184">IFERROR(_xlfn.XLOOKUP(M184, Maestro_productos_15!$B:$B, Maestro_productos_15!$D:$D), "No encontrado")</f>
        <v>NutriDog Arg</v>
      </c>
      <c r="O184" s="10" t="str">
        <f t="array" ref="O184">IFERROR(_xlfn.XLOOKUP(M184,Maestro_productos_15!$B:$B,Maestro_productos_15!$C:$C), "Sin Categoria")</f>
        <v>Mascotas</v>
      </c>
      <c r="P184" s="11">
        <f t="shared" si="6"/>
        <v>18600</v>
      </c>
      <c r="Q184" s="11">
        <f t="shared" si="7"/>
        <v>10800</v>
      </c>
      <c r="R184" s="11">
        <f t="shared" si="8"/>
        <v>7800</v>
      </c>
      <c r="S184" s="15">
        <f t="shared" si="9"/>
        <v>372</v>
      </c>
    </row>
    <row r="185" ht="22.5" customHeight="1">
      <c r="A185" s="5" t="s">
        <v>307</v>
      </c>
      <c r="B185" s="8">
        <f t="shared" si="2"/>
        <v>8</v>
      </c>
      <c r="C185" s="6">
        <v>46085.0</v>
      </c>
      <c r="D185" s="5" t="s">
        <v>118</v>
      </c>
      <c r="E185" s="5" t="s">
        <v>90</v>
      </c>
      <c r="F185" s="7" t="s">
        <v>34</v>
      </c>
      <c r="G185" s="8">
        <v>3.0</v>
      </c>
      <c r="H185" s="8">
        <v>4800.0</v>
      </c>
      <c r="I185" s="8">
        <v>2700.0</v>
      </c>
      <c r="J185" s="10" t="str">
        <f t="shared" si="3"/>
        <v>Posadas</v>
      </c>
      <c r="K185" s="11">
        <f t="shared" si="4"/>
        <v>3</v>
      </c>
      <c r="L185" s="10" t="str">
        <f t="shared" ref="L185:M185" si="191">PROPER(E185)</f>
        <v>Ana Martinez</v>
      </c>
      <c r="M185" s="10" t="str">
        <f t="shared" si="191"/>
        <v>Juguete Mordillo Goma</v>
      </c>
      <c r="N185" s="10" t="str">
        <f t="array" ref="N185">IFERROR(_xlfn.XLOOKUP(M185, Maestro_productos_15!$B:$B, Maestro_productos_15!$D:$D), "No encontrado")</f>
        <v>PetStyle Litoral</v>
      </c>
      <c r="O185" s="10" t="str">
        <f t="array" ref="O185">IFERROR(_xlfn.XLOOKUP(M185,Maestro_productos_15!$B:$B,Maestro_productos_15!$C:$C), "Sin Categoria")</f>
        <v>Mascotas</v>
      </c>
      <c r="P185" s="11">
        <f t="shared" si="6"/>
        <v>14400</v>
      </c>
      <c r="Q185" s="11">
        <f t="shared" si="7"/>
        <v>8100</v>
      </c>
      <c r="R185" s="11">
        <f t="shared" si="8"/>
        <v>6300</v>
      </c>
      <c r="S185" s="15">
        <f t="shared" si="9"/>
        <v>288</v>
      </c>
    </row>
    <row r="186" ht="22.5" customHeight="1">
      <c r="A186" s="5" t="s">
        <v>308</v>
      </c>
      <c r="B186" s="8">
        <f t="shared" si="2"/>
        <v>8</v>
      </c>
      <c r="C186" s="6">
        <v>46043.0</v>
      </c>
      <c r="D186" s="5" t="s">
        <v>108</v>
      </c>
      <c r="E186" s="5" t="s">
        <v>113</v>
      </c>
      <c r="F186" s="7" t="s">
        <v>71</v>
      </c>
      <c r="G186" s="8">
        <v>11.0</v>
      </c>
      <c r="H186" s="8">
        <v>22000.0</v>
      </c>
      <c r="I186" s="8">
        <v>14000.0</v>
      </c>
      <c r="J186" s="10" t="str">
        <f t="shared" si="3"/>
        <v>Corrientes</v>
      </c>
      <c r="K186" s="11">
        <f t="shared" si="4"/>
        <v>11</v>
      </c>
      <c r="L186" s="10" t="str">
        <f t="shared" ref="L186:M186" si="192">PROPER(E186)</f>
        <v>Maria Gomez</v>
      </c>
      <c r="M186" s="10" t="str">
        <f t="shared" si="192"/>
        <v>Cargador Rápido Usb-C 65W</v>
      </c>
      <c r="N186" s="10" t="str">
        <f t="array" ref="N186">IFERROR(_xlfn.XLOOKUP(M186, Maestro_productos_15!$B:$B, Maestro_productos_15!$D:$D), "No encontrado")</f>
        <v>TechImport S.R.L.</v>
      </c>
      <c r="O186" s="10" t="str">
        <f t="array" ref="O186">IFERROR(_xlfn.XLOOKUP(M186,Maestro_productos_15!$B:$B,Maestro_productos_15!$C:$C), "Sin Categoria")</f>
        <v>Tecnología</v>
      </c>
      <c r="P186" s="11">
        <f t="shared" si="6"/>
        <v>242000</v>
      </c>
      <c r="Q186" s="11">
        <f t="shared" si="7"/>
        <v>154000</v>
      </c>
      <c r="R186" s="11">
        <f t="shared" si="8"/>
        <v>88000</v>
      </c>
      <c r="S186" s="15">
        <f t="shared" si="9"/>
        <v>4840</v>
      </c>
    </row>
    <row r="187" ht="22.5" customHeight="1">
      <c r="A187" s="5" t="s">
        <v>309</v>
      </c>
      <c r="B187" s="8">
        <f t="shared" si="2"/>
        <v>8</v>
      </c>
      <c r="C187" s="6">
        <v>46066.0</v>
      </c>
      <c r="D187" s="5" t="s">
        <v>108</v>
      </c>
      <c r="E187" s="5" t="s">
        <v>115</v>
      </c>
      <c r="F187" s="7" t="s">
        <v>25</v>
      </c>
      <c r="G187" s="8">
        <v>2.0</v>
      </c>
      <c r="H187" s="8">
        <v>19500.0</v>
      </c>
      <c r="I187" s="8">
        <v>12000.0</v>
      </c>
      <c r="J187" s="10" t="str">
        <f t="shared" si="3"/>
        <v>Corrientes</v>
      </c>
      <c r="K187" s="11">
        <f t="shared" si="4"/>
        <v>2</v>
      </c>
      <c r="L187" s="10" t="str">
        <f t="shared" ref="L187:M187" si="193">PROPER(E187)</f>
        <v>Juan Perez</v>
      </c>
      <c r="M187" s="10" t="str">
        <f t="shared" si="193"/>
        <v>Soporte Regulable Notebook</v>
      </c>
      <c r="N187" s="10" t="str">
        <f t="array" ref="N187">IFERROR(_xlfn.XLOOKUP(M187, Maestro_productos_15!$B:$B, Maestro_productos_15!$D:$D), "No encontrado")</f>
        <v>TechImport S.R.L.</v>
      </c>
      <c r="O187" s="10" t="str">
        <f t="array" ref="O187">IFERROR(_xlfn.XLOOKUP(M187,Maestro_productos_15!$B:$B,Maestro_productos_15!$C:$C), "Sin Categoria")</f>
        <v>Tecnología</v>
      </c>
      <c r="P187" s="11">
        <f t="shared" si="6"/>
        <v>39000</v>
      </c>
      <c r="Q187" s="11">
        <f t="shared" si="7"/>
        <v>24000</v>
      </c>
      <c r="R187" s="11">
        <f t="shared" si="8"/>
        <v>15000</v>
      </c>
      <c r="S187" s="15">
        <f t="shared" si="9"/>
        <v>780</v>
      </c>
    </row>
    <row r="188" ht="22.5" customHeight="1">
      <c r="A188" s="5" t="s">
        <v>310</v>
      </c>
      <c r="B188" s="8">
        <f t="shared" si="2"/>
        <v>8</v>
      </c>
      <c r="C188" s="6">
        <v>46030.0</v>
      </c>
      <c r="D188" s="5" t="s">
        <v>99</v>
      </c>
      <c r="E188" s="5" t="s">
        <v>141</v>
      </c>
      <c r="F188" s="7" t="s">
        <v>13</v>
      </c>
      <c r="G188" s="8">
        <v>7.0</v>
      </c>
      <c r="H188" s="8">
        <v>35000.0</v>
      </c>
      <c r="I188" s="8">
        <v>24000.0</v>
      </c>
      <c r="J188" s="10" t="str">
        <f t="shared" si="3"/>
        <v>Posadas</v>
      </c>
      <c r="K188" s="11">
        <f t="shared" si="4"/>
        <v>7</v>
      </c>
      <c r="L188" s="10" t="str">
        <f t="shared" ref="L188:M188" si="194">PROPER(E188)</f>
        <v>Carlos Ruiz</v>
      </c>
      <c r="M188" s="10" t="str">
        <f t="shared" si="194"/>
        <v>Alimento Perro Adulto 15Kg</v>
      </c>
      <c r="N188" s="10" t="str">
        <f t="array" ref="N188">IFERROR(_xlfn.XLOOKUP(M188, Maestro_productos_15!$B:$B, Maestro_productos_15!$D:$D), "No encontrado")</f>
        <v>NutriDog Arg</v>
      </c>
      <c r="O188" s="10" t="str">
        <f t="array" ref="O188">IFERROR(_xlfn.XLOOKUP(M188,Maestro_productos_15!$B:$B,Maestro_productos_15!$C:$C), "Sin Categoria")</f>
        <v>Mascotas</v>
      </c>
      <c r="P188" s="11">
        <f t="shared" si="6"/>
        <v>245000</v>
      </c>
      <c r="Q188" s="11">
        <f t="shared" si="7"/>
        <v>168000</v>
      </c>
      <c r="R188" s="11">
        <f t="shared" si="8"/>
        <v>77000</v>
      </c>
      <c r="S188" s="15">
        <f t="shared" si="9"/>
        <v>9800</v>
      </c>
    </row>
    <row r="189" ht="22.5" customHeight="1">
      <c r="A189" s="5" t="s">
        <v>311</v>
      </c>
      <c r="B189" s="8">
        <f t="shared" si="2"/>
        <v>8</v>
      </c>
      <c r="C189" s="6">
        <v>46093.0</v>
      </c>
      <c r="D189" s="5" t="s">
        <v>118</v>
      </c>
      <c r="E189" s="5" t="s">
        <v>90</v>
      </c>
      <c r="F189" s="7" t="s">
        <v>38</v>
      </c>
      <c r="G189" s="8">
        <v>17.0</v>
      </c>
      <c r="H189" s="8">
        <v>29500.0</v>
      </c>
      <c r="I189" s="8">
        <v>20000.0</v>
      </c>
      <c r="J189" s="10" t="str">
        <f t="shared" si="3"/>
        <v>Posadas</v>
      </c>
      <c r="K189" s="11">
        <f t="shared" si="4"/>
        <v>17</v>
      </c>
      <c r="L189" s="10" t="str">
        <f t="shared" ref="L189:M189" si="195">PROPER(E189)</f>
        <v>Ana Martinez</v>
      </c>
      <c r="M189" s="10" t="str">
        <f t="shared" si="195"/>
        <v>Alimento Gato Castrado 10Kg</v>
      </c>
      <c r="N189" s="10" t="str">
        <f t="array" ref="N189">IFERROR(_xlfn.XLOOKUP(M189, Maestro_productos_15!$B:$B, Maestro_productos_15!$D:$D), "No encontrado")</f>
        <v>NutriDog Arg</v>
      </c>
      <c r="O189" s="10" t="str">
        <f t="array" ref="O189">IFERROR(_xlfn.XLOOKUP(M189,Maestro_productos_15!$B:$B,Maestro_productos_15!$C:$C), "Sin Categoria")</f>
        <v>Mascotas</v>
      </c>
      <c r="P189" s="11">
        <f t="shared" si="6"/>
        <v>501500</v>
      </c>
      <c r="Q189" s="11">
        <f t="shared" si="7"/>
        <v>340000</v>
      </c>
      <c r="R189" s="11">
        <f t="shared" si="8"/>
        <v>161500</v>
      </c>
      <c r="S189" s="15">
        <f t="shared" si="9"/>
        <v>20060</v>
      </c>
    </row>
    <row r="190" ht="22.5" customHeight="1">
      <c r="A190" s="5" t="s">
        <v>312</v>
      </c>
      <c r="B190" s="8">
        <f t="shared" si="2"/>
        <v>8</v>
      </c>
      <c r="C190" s="6">
        <v>46112.0</v>
      </c>
      <c r="D190" s="5" t="s">
        <v>88</v>
      </c>
      <c r="E190" s="5" t="s">
        <v>100</v>
      </c>
      <c r="F190" s="7" t="s">
        <v>7</v>
      </c>
      <c r="G190" s="8">
        <v>7.0</v>
      </c>
      <c r="H190" s="8">
        <v>3800.0</v>
      </c>
      <c r="I190" s="8">
        <v>2500.0</v>
      </c>
      <c r="J190" s="10" t="str">
        <f t="shared" si="3"/>
        <v>Corrientes</v>
      </c>
      <c r="K190" s="11">
        <f t="shared" si="4"/>
        <v>7</v>
      </c>
      <c r="L190" s="10" t="str">
        <f t="shared" ref="L190:M190" si="196">PROPER(E190)</f>
        <v>Juan Perez</v>
      </c>
      <c r="M190" s="10" t="str">
        <f t="shared" si="196"/>
        <v>Yerba Mate Premium 1Kg</v>
      </c>
      <c r="N190" s="10" t="str">
        <f t="array" ref="N190">IFERROR(_xlfn.XLOOKUP(M190, Maestro_productos_15!$B:$B, Maestro_productos_15!$D:$D), "No encontrado")</f>
        <v>Cooperativa Neike</v>
      </c>
      <c r="O190" s="10" t="str">
        <f t="array" ref="O190">IFERROR(_xlfn.XLOOKUP(M190,Maestro_productos_15!$B:$B,Maestro_productos_15!$C:$C), "Sin Categoria")</f>
        <v>Alimentos</v>
      </c>
      <c r="P190" s="11">
        <f t="shared" si="6"/>
        <v>26600</v>
      </c>
      <c r="Q190" s="11">
        <f t="shared" si="7"/>
        <v>17500</v>
      </c>
      <c r="R190" s="11">
        <f t="shared" si="8"/>
        <v>9100</v>
      </c>
      <c r="S190" s="15">
        <f t="shared" si="9"/>
        <v>532</v>
      </c>
    </row>
    <row r="191" ht="22.5" customHeight="1">
      <c r="A191" s="5" t="s">
        <v>313</v>
      </c>
      <c r="B191" s="8">
        <f t="shared" si="2"/>
        <v>8</v>
      </c>
      <c r="C191" s="6">
        <v>46027.0</v>
      </c>
      <c r="D191" s="5" t="s">
        <v>88</v>
      </c>
      <c r="E191" s="5" t="s">
        <v>141</v>
      </c>
      <c r="F191" s="7" t="s">
        <v>110</v>
      </c>
      <c r="G191" s="8">
        <v>6.0</v>
      </c>
      <c r="H191" s="8">
        <v>9200.0</v>
      </c>
      <c r="I191" s="8">
        <v>5500.0</v>
      </c>
      <c r="J191" s="10" t="str">
        <f t="shared" si="3"/>
        <v>Corrientes</v>
      </c>
      <c r="K191" s="11">
        <f t="shared" si="4"/>
        <v>6</v>
      </c>
      <c r="L191" s="10" t="str">
        <f t="shared" ref="L191:M191" si="197">PROPER(E191)</f>
        <v>Carlos Ruiz</v>
      </c>
      <c r="M191" s="10" t="str">
        <f t="shared" si="197"/>
        <v>Correa Reforzada Canina 3M</v>
      </c>
      <c r="N191" s="10" t="str">
        <f t="array" ref="N191">IFERROR(_xlfn.XLOOKUP(M191, Maestro_productos_15!$B:$B, Maestro_productos_15!$D:$D), "No encontrado")</f>
        <v>PetStyle Litoral</v>
      </c>
      <c r="O191" s="10" t="str">
        <f t="array" ref="O191">IFERROR(_xlfn.XLOOKUP(M191,Maestro_productos_15!$B:$B,Maestro_productos_15!$C:$C), "Sin Categoria")</f>
        <v>Mascotas</v>
      </c>
      <c r="P191" s="11">
        <f t="shared" si="6"/>
        <v>55200</v>
      </c>
      <c r="Q191" s="11">
        <f t="shared" si="7"/>
        <v>33000</v>
      </c>
      <c r="R191" s="11">
        <f t="shared" si="8"/>
        <v>22200</v>
      </c>
      <c r="S191" s="15">
        <f t="shared" si="9"/>
        <v>1104</v>
      </c>
    </row>
    <row r="192" ht="22.5" customHeight="1">
      <c r="A192" s="5" t="s">
        <v>314</v>
      </c>
      <c r="B192" s="8">
        <f t="shared" si="2"/>
        <v>8</v>
      </c>
      <c r="C192" s="6">
        <v>46046.0</v>
      </c>
      <c r="D192" s="5" t="s">
        <v>99</v>
      </c>
      <c r="E192" s="5" t="s">
        <v>127</v>
      </c>
      <c r="F192" s="7" t="s">
        <v>161</v>
      </c>
      <c r="G192" s="8">
        <v>12.0</v>
      </c>
      <c r="H192" s="8">
        <v>3800.0</v>
      </c>
      <c r="I192" s="8">
        <v>2500.0</v>
      </c>
      <c r="J192" s="10" t="str">
        <f t="shared" si="3"/>
        <v>Posadas</v>
      </c>
      <c r="K192" s="11">
        <f t="shared" si="4"/>
        <v>12</v>
      </c>
      <c r="L192" s="10" t="str">
        <f t="shared" ref="L192:M192" si="198">PROPER(E192)</f>
        <v>Carlos Ruiz</v>
      </c>
      <c r="M192" s="10" t="str">
        <f t="shared" si="198"/>
        <v>Yerba Mate Premium 1Kg</v>
      </c>
      <c r="N192" s="10" t="str">
        <f t="array" ref="N192">IFERROR(_xlfn.XLOOKUP(M192, Maestro_productos_15!$B:$B, Maestro_productos_15!$D:$D), "No encontrado")</f>
        <v>Cooperativa Neike</v>
      </c>
      <c r="O192" s="10" t="str">
        <f t="array" ref="O192">IFERROR(_xlfn.XLOOKUP(M192,Maestro_productos_15!$B:$B,Maestro_productos_15!$C:$C), "Sin Categoria")</f>
        <v>Alimentos</v>
      </c>
      <c r="P192" s="11">
        <f t="shared" si="6"/>
        <v>45600</v>
      </c>
      <c r="Q192" s="11">
        <f t="shared" si="7"/>
        <v>30000</v>
      </c>
      <c r="R192" s="11">
        <f t="shared" si="8"/>
        <v>15600</v>
      </c>
      <c r="S192" s="15">
        <f t="shared" si="9"/>
        <v>912</v>
      </c>
    </row>
    <row r="193" ht="22.5" customHeight="1">
      <c r="A193" s="5" t="s">
        <v>315</v>
      </c>
      <c r="B193" s="8">
        <f t="shared" si="2"/>
        <v>8</v>
      </c>
      <c r="C193" s="6">
        <v>46092.0</v>
      </c>
      <c r="D193" s="5" t="s">
        <v>88</v>
      </c>
      <c r="E193" s="5" t="s">
        <v>141</v>
      </c>
      <c r="F193" s="7" t="s">
        <v>67</v>
      </c>
      <c r="G193" s="8">
        <v>11.0</v>
      </c>
      <c r="H193" s="8">
        <v>3100.0</v>
      </c>
      <c r="I193" s="8">
        <v>1800.0</v>
      </c>
      <c r="J193" s="10" t="str">
        <f t="shared" si="3"/>
        <v>Corrientes</v>
      </c>
      <c r="K193" s="11">
        <f t="shared" si="4"/>
        <v>11</v>
      </c>
      <c r="L193" s="10" t="str">
        <f t="shared" ref="L193:M193" si="199">PROPER(E193)</f>
        <v>Carlos Ruiz</v>
      </c>
      <c r="M193" s="10" t="str">
        <f t="shared" si="199"/>
        <v>Snack Premios Perro 250G</v>
      </c>
      <c r="N193" s="10" t="str">
        <f t="array" ref="N193">IFERROR(_xlfn.XLOOKUP(M193, Maestro_productos_15!$B:$B, Maestro_productos_15!$D:$D), "No encontrado")</f>
        <v>NutriDog Arg</v>
      </c>
      <c r="O193" s="10" t="str">
        <f t="array" ref="O193">IFERROR(_xlfn.XLOOKUP(M193,Maestro_productos_15!$B:$B,Maestro_productos_15!$C:$C), "Sin Categoria")</f>
        <v>Mascotas</v>
      </c>
      <c r="P193" s="11">
        <f t="shared" si="6"/>
        <v>34100</v>
      </c>
      <c r="Q193" s="11">
        <f t="shared" si="7"/>
        <v>19800</v>
      </c>
      <c r="R193" s="11">
        <f t="shared" si="8"/>
        <v>14300</v>
      </c>
      <c r="S193" s="15">
        <f t="shared" si="9"/>
        <v>682</v>
      </c>
    </row>
    <row r="194" ht="22.5" customHeight="1">
      <c r="A194" s="5" t="s">
        <v>316</v>
      </c>
      <c r="B194" s="8">
        <f t="shared" si="2"/>
        <v>8</v>
      </c>
      <c r="C194" s="6">
        <v>46029.0</v>
      </c>
      <c r="D194" s="5" t="s">
        <v>102</v>
      </c>
      <c r="E194" s="5" t="s">
        <v>100</v>
      </c>
      <c r="F194" s="7" t="s">
        <v>71</v>
      </c>
      <c r="G194" s="8">
        <v>11.0</v>
      </c>
      <c r="H194" s="8">
        <v>22000.0</v>
      </c>
      <c r="I194" s="8">
        <v>14000.0</v>
      </c>
      <c r="J194" s="10" t="str">
        <f t="shared" si="3"/>
        <v>Resistencia</v>
      </c>
      <c r="K194" s="11">
        <f t="shared" si="4"/>
        <v>11</v>
      </c>
      <c r="L194" s="10" t="str">
        <f t="shared" ref="L194:M194" si="200">PROPER(E194)</f>
        <v>Juan Perez</v>
      </c>
      <c r="M194" s="10" t="str">
        <f t="shared" si="200"/>
        <v>Cargador Rápido Usb-C 65W</v>
      </c>
      <c r="N194" s="10" t="str">
        <f t="array" ref="N194">IFERROR(_xlfn.XLOOKUP(M194, Maestro_productos_15!$B:$B, Maestro_productos_15!$D:$D), "No encontrado")</f>
        <v>TechImport S.R.L.</v>
      </c>
      <c r="O194" s="10" t="str">
        <f t="array" ref="O194">IFERROR(_xlfn.XLOOKUP(M194,Maestro_productos_15!$B:$B,Maestro_productos_15!$C:$C), "Sin Categoria")</f>
        <v>Tecnología</v>
      </c>
      <c r="P194" s="11">
        <f t="shared" si="6"/>
        <v>242000</v>
      </c>
      <c r="Q194" s="11">
        <f t="shared" si="7"/>
        <v>154000</v>
      </c>
      <c r="R194" s="11">
        <f t="shared" si="8"/>
        <v>88000</v>
      </c>
      <c r="S194" s="15">
        <f t="shared" si="9"/>
        <v>4840</v>
      </c>
    </row>
    <row r="195" ht="22.5" customHeight="1">
      <c r="A195" s="5" t="s">
        <v>317</v>
      </c>
      <c r="B195" s="8">
        <f t="shared" si="2"/>
        <v>8</v>
      </c>
      <c r="C195" s="6">
        <v>46025.0</v>
      </c>
      <c r="D195" s="5" t="s">
        <v>102</v>
      </c>
      <c r="E195" s="5" t="s">
        <v>100</v>
      </c>
      <c r="F195" s="7" t="s">
        <v>56</v>
      </c>
      <c r="G195" s="8">
        <v>4.0</v>
      </c>
      <c r="H195" s="8">
        <v>32000.0</v>
      </c>
      <c r="I195" s="8">
        <v>21000.0</v>
      </c>
      <c r="J195" s="10" t="str">
        <f t="shared" si="3"/>
        <v>Resistencia</v>
      </c>
      <c r="K195" s="11">
        <f t="shared" si="4"/>
        <v>4</v>
      </c>
      <c r="L195" s="10" t="str">
        <f t="shared" ref="L195:M195" si="201">PROPER(E195)</f>
        <v>Juan Perez</v>
      </c>
      <c r="M195" s="10" t="str">
        <f t="shared" si="201"/>
        <v>Termo Acero Inoxidable 1.3L</v>
      </c>
      <c r="N195" s="10" t="str">
        <f t="array" ref="N195">IFERROR(_xlfn.XLOOKUP(M195, Maestro_productos_15!$B:$B, Maestro_productos_15!$D:$D), "No encontrado")</f>
        <v>Distribuidora del Nordeste</v>
      </c>
      <c r="O195" s="10" t="str">
        <f t="array" ref="O195">IFERROR(_xlfn.XLOOKUP(M195,Maestro_productos_15!$B:$B,Maestro_productos_15!$C:$C), "Sin Categoria")</f>
        <v>Bazar</v>
      </c>
      <c r="P195" s="11">
        <f t="shared" si="6"/>
        <v>128000</v>
      </c>
      <c r="Q195" s="11">
        <f t="shared" si="7"/>
        <v>84000</v>
      </c>
      <c r="R195" s="11">
        <f t="shared" si="8"/>
        <v>44000</v>
      </c>
      <c r="S195" s="15">
        <f t="shared" si="9"/>
        <v>5120</v>
      </c>
    </row>
    <row r="196" ht="22.5" customHeight="1">
      <c r="A196" s="5" t="s">
        <v>318</v>
      </c>
      <c r="B196" s="8">
        <f t="shared" si="2"/>
        <v>8</v>
      </c>
      <c r="C196" s="6">
        <v>46057.0</v>
      </c>
      <c r="D196" s="5" t="s">
        <v>103</v>
      </c>
      <c r="E196" s="5" t="s">
        <v>113</v>
      </c>
      <c r="F196" s="7" t="s">
        <v>42</v>
      </c>
      <c r="G196" s="8">
        <v>8.0</v>
      </c>
      <c r="H196" s="8">
        <v>45000.0</v>
      </c>
      <c r="I196" s="8">
        <v>30000.0</v>
      </c>
      <c r="J196" s="10" t="str">
        <f t="shared" si="3"/>
        <v>Formosa</v>
      </c>
      <c r="K196" s="11">
        <f t="shared" si="4"/>
        <v>8</v>
      </c>
      <c r="L196" s="10" t="str">
        <f t="shared" ref="L196:M196" si="202">PROPER(E196)</f>
        <v>Maria Gomez</v>
      </c>
      <c r="M196" s="10" t="str">
        <f t="shared" si="202"/>
        <v>Teclado Mecánico Rgb</v>
      </c>
      <c r="N196" s="10" t="str">
        <f t="array" ref="N196">IFERROR(_xlfn.XLOOKUP(M196, Maestro_productos_15!$B:$B, Maestro_productos_15!$D:$D), "No encontrado")</f>
        <v>TechImport S.R.L.</v>
      </c>
      <c r="O196" s="10" t="str">
        <f t="array" ref="O196">IFERROR(_xlfn.XLOOKUP(M196,Maestro_productos_15!$B:$B,Maestro_productos_15!$C:$C), "Sin Categoria")</f>
        <v>Tecnología</v>
      </c>
      <c r="P196" s="11">
        <f t="shared" si="6"/>
        <v>360000</v>
      </c>
      <c r="Q196" s="11">
        <f t="shared" si="7"/>
        <v>240000</v>
      </c>
      <c r="R196" s="11">
        <f t="shared" si="8"/>
        <v>120000</v>
      </c>
      <c r="S196" s="15">
        <f t="shared" si="9"/>
        <v>14400</v>
      </c>
    </row>
    <row r="197" ht="22.5" customHeight="1">
      <c r="A197" s="5" t="s">
        <v>319</v>
      </c>
      <c r="B197" s="8">
        <f t="shared" si="2"/>
        <v>8</v>
      </c>
      <c r="C197" s="6">
        <v>46079.0</v>
      </c>
      <c r="D197" s="5" t="s">
        <v>99</v>
      </c>
      <c r="E197" s="5" t="s">
        <v>127</v>
      </c>
      <c r="F197" s="7" t="s">
        <v>51</v>
      </c>
      <c r="G197" s="8">
        <v>25.0</v>
      </c>
      <c r="H197" s="8">
        <v>8500.0</v>
      </c>
      <c r="I197" s="8">
        <v>4800.0</v>
      </c>
      <c r="J197" s="10" t="str">
        <f t="shared" si="3"/>
        <v>Posadas</v>
      </c>
      <c r="K197" s="11">
        <f t="shared" si="4"/>
        <v>25</v>
      </c>
      <c r="L197" s="10" t="str">
        <f t="shared" ref="L197:M197" si="203">PROPER(E197)</f>
        <v>Carlos Ruiz</v>
      </c>
      <c r="M197" s="10" t="str">
        <f t="shared" si="203"/>
        <v>Mates De Madera Calada</v>
      </c>
      <c r="N197" s="10" t="str">
        <f t="array" ref="N197">IFERROR(_xlfn.XLOOKUP(M197, Maestro_productos_15!$B:$B, Maestro_productos_15!$D:$D), "No encontrado")</f>
        <v>Artesanías Guaraníes</v>
      </c>
      <c r="O197" s="10" t="str">
        <f t="array" ref="O197">IFERROR(_xlfn.XLOOKUP(M197,Maestro_productos_15!$B:$B,Maestro_productos_15!$C:$C), "Sin Categoria")</f>
        <v>Bazar</v>
      </c>
      <c r="P197" s="11">
        <f t="shared" si="6"/>
        <v>212500</v>
      </c>
      <c r="Q197" s="11">
        <f t="shared" si="7"/>
        <v>120000</v>
      </c>
      <c r="R197" s="11">
        <f t="shared" si="8"/>
        <v>92500</v>
      </c>
      <c r="S197" s="15">
        <f t="shared" si="9"/>
        <v>4250</v>
      </c>
    </row>
    <row r="198" ht="22.5" customHeight="1">
      <c r="A198" s="5" t="s">
        <v>320</v>
      </c>
      <c r="B198" s="8">
        <f t="shared" si="2"/>
        <v>8</v>
      </c>
      <c r="C198" s="6">
        <v>46074.0</v>
      </c>
      <c r="D198" s="5" t="s">
        <v>108</v>
      </c>
      <c r="E198" s="5" t="s">
        <v>100</v>
      </c>
      <c r="F198" s="7" t="s">
        <v>60</v>
      </c>
      <c r="G198" s="8">
        <v>7.0</v>
      </c>
      <c r="H198" s="8">
        <v>15000.0</v>
      </c>
      <c r="I198" s="8">
        <v>9500.0</v>
      </c>
      <c r="J198" s="10" t="str">
        <f t="shared" si="3"/>
        <v>Corrientes</v>
      </c>
      <c r="K198" s="11">
        <f t="shared" si="4"/>
        <v>7</v>
      </c>
      <c r="L198" s="10" t="str">
        <f t="shared" ref="L198:M198" si="204">PROPER(E198)</f>
        <v>Juan Perez</v>
      </c>
      <c r="M198" s="10" t="str">
        <f t="shared" si="204"/>
        <v>Mouse Inalámbrico Ergonómico</v>
      </c>
      <c r="N198" s="10" t="str">
        <f t="array" ref="N198">IFERROR(_xlfn.XLOOKUP(M198, Maestro_productos_15!$B:$B, Maestro_productos_15!$D:$D), "No encontrado")</f>
        <v>TechImport S.R.L.</v>
      </c>
      <c r="O198" s="10" t="str">
        <f t="array" ref="O198">IFERROR(_xlfn.XLOOKUP(M198,Maestro_productos_15!$B:$B,Maestro_productos_15!$C:$C), "Sin Categoria")</f>
        <v>Tecnología</v>
      </c>
      <c r="P198" s="11">
        <f t="shared" si="6"/>
        <v>105000</v>
      </c>
      <c r="Q198" s="11">
        <f t="shared" si="7"/>
        <v>66500</v>
      </c>
      <c r="R198" s="11">
        <f t="shared" si="8"/>
        <v>38500</v>
      </c>
      <c r="S198" s="15">
        <f t="shared" si="9"/>
        <v>2100</v>
      </c>
    </row>
    <row r="199" ht="22.5" customHeight="1">
      <c r="A199" s="5" t="s">
        <v>321</v>
      </c>
      <c r="B199" s="8">
        <f t="shared" si="2"/>
        <v>8</v>
      </c>
      <c r="C199" s="6">
        <v>46027.0</v>
      </c>
      <c r="D199" s="5" t="s">
        <v>108</v>
      </c>
      <c r="E199" s="5" t="s">
        <v>106</v>
      </c>
      <c r="F199" s="7" t="s">
        <v>56</v>
      </c>
      <c r="G199" s="8">
        <v>15.0</v>
      </c>
      <c r="H199" s="8">
        <v>32000.0</v>
      </c>
      <c r="I199" s="8">
        <v>21000.0</v>
      </c>
      <c r="J199" s="10" t="str">
        <f t="shared" si="3"/>
        <v>Corrientes</v>
      </c>
      <c r="K199" s="11">
        <f t="shared" si="4"/>
        <v>15</v>
      </c>
      <c r="L199" s="10" t="str">
        <f t="shared" ref="L199:M199" si="205">PROPER(E199)</f>
        <v>Ana Martinez</v>
      </c>
      <c r="M199" s="10" t="str">
        <f t="shared" si="205"/>
        <v>Termo Acero Inoxidable 1.3L</v>
      </c>
      <c r="N199" s="10" t="str">
        <f t="array" ref="N199">IFERROR(_xlfn.XLOOKUP(M199, Maestro_productos_15!$B:$B, Maestro_productos_15!$D:$D), "No encontrado")</f>
        <v>Distribuidora del Nordeste</v>
      </c>
      <c r="O199" s="10" t="str">
        <f t="array" ref="O199">IFERROR(_xlfn.XLOOKUP(M199,Maestro_productos_15!$B:$B,Maestro_productos_15!$C:$C), "Sin Categoria")</f>
        <v>Bazar</v>
      </c>
      <c r="P199" s="11">
        <f t="shared" si="6"/>
        <v>480000</v>
      </c>
      <c r="Q199" s="11">
        <f t="shared" si="7"/>
        <v>315000</v>
      </c>
      <c r="R199" s="11">
        <f t="shared" si="8"/>
        <v>165000</v>
      </c>
      <c r="S199" s="15">
        <f t="shared" si="9"/>
        <v>28800</v>
      </c>
    </row>
    <row r="200" ht="22.5" customHeight="1">
      <c r="A200" s="5" t="s">
        <v>322</v>
      </c>
      <c r="B200" s="8">
        <f t="shared" si="2"/>
        <v>8</v>
      </c>
      <c r="C200" s="6">
        <v>46070.0</v>
      </c>
      <c r="D200" s="5" t="s">
        <v>99</v>
      </c>
      <c r="E200" s="5" t="s">
        <v>90</v>
      </c>
      <c r="F200" s="7" t="s">
        <v>19</v>
      </c>
      <c r="G200" s="8">
        <v>20.0</v>
      </c>
      <c r="H200" s="8">
        <v>28000.0</v>
      </c>
      <c r="I200" s="8">
        <v>18000.0</v>
      </c>
      <c r="J200" s="10" t="str">
        <f t="shared" si="3"/>
        <v>Posadas</v>
      </c>
      <c r="K200" s="11">
        <f t="shared" si="4"/>
        <v>20</v>
      </c>
      <c r="L200" s="10" t="str">
        <f t="shared" ref="L200:M200" si="206">PROPER(E200)</f>
        <v>Ana Martinez</v>
      </c>
      <c r="M200" s="10" t="str">
        <f t="shared" si="206"/>
        <v>Auriculares Bluetooth Pro</v>
      </c>
      <c r="N200" s="10" t="str">
        <f t="array" ref="N200">IFERROR(_xlfn.XLOOKUP(M200, Maestro_productos_15!$B:$B, Maestro_productos_15!$D:$D), "No encontrado")</f>
        <v>TechImport S.R.L.</v>
      </c>
      <c r="O200" s="10" t="str">
        <f t="array" ref="O200">IFERROR(_xlfn.XLOOKUP(M200,Maestro_productos_15!$B:$B,Maestro_productos_15!$C:$C), "Sin Categoria")</f>
        <v>Tecnología</v>
      </c>
      <c r="P200" s="11">
        <f t="shared" si="6"/>
        <v>560000</v>
      </c>
      <c r="Q200" s="11">
        <f t="shared" si="7"/>
        <v>360000</v>
      </c>
      <c r="R200" s="11">
        <f t="shared" si="8"/>
        <v>200000</v>
      </c>
      <c r="S200" s="15">
        <f t="shared" si="9"/>
        <v>22400</v>
      </c>
    </row>
    <row r="201" ht="22.5" customHeight="1">
      <c r="A201" s="5" t="s">
        <v>323</v>
      </c>
      <c r="B201" s="8">
        <f t="shared" si="2"/>
        <v>8</v>
      </c>
      <c r="C201" s="6">
        <v>46075.0</v>
      </c>
      <c r="D201" s="5" t="s">
        <v>88</v>
      </c>
      <c r="E201" s="5" t="s">
        <v>141</v>
      </c>
      <c r="F201" s="7" t="s">
        <v>51</v>
      </c>
      <c r="G201" s="8">
        <v>10.0</v>
      </c>
      <c r="H201" s="8">
        <v>8500.0</v>
      </c>
      <c r="I201" s="8">
        <v>4800.0</v>
      </c>
      <c r="J201" s="10" t="str">
        <f t="shared" si="3"/>
        <v>Corrientes</v>
      </c>
      <c r="K201" s="11">
        <f t="shared" si="4"/>
        <v>10</v>
      </c>
      <c r="L201" s="10" t="str">
        <f t="shared" ref="L201:M201" si="207">PROPER(E201)</f>
        <v>Carlos Ruiz</v>
      </c>
      <c r="M201" s="10" t="str">
        <f t="shared" si="207"/>
        <v>Mates De Madera Calada</v>
      </c>
      <c r="N201" s="10" t="str">
        <f t="array" ref="N201">IFERROR(_xlfn.XLOOKUP(M201, Maestro_productos_15!$B:$B, Maestro_productos_15!$D:$D), "No encontrado")</f>
        <v>Artesanías Guaraníes</v>
      </c>
      <c r="O201" s="10" t="str">
        <f t="array" ref="O201">IFERROR(_xlfn.XLOOKUP(M201,Maestro_productos_15!$B:$B,Maestro_productos_15!$C:$C), "Sin Categoria")</f>
        <v>Bazar</v>
      </c>
      <c r="P201" s="11">
        <f t="shared" si="6"/>
        <v>85000</v>
      </c>
      <c r="Q201" s="11">
        <f t="shared" si="7"/>
        <v>48000</v>
      </c>
      <c r="R201" s="11">
        <f t="shared" si="8"/>
        <v>37000</v>
      </c>
      <c r="S201" s="15">
        <f t="shared" si="9"/>
        <v>1700</v>
      </c>
    </row>
  </sheetData>
  <dataValidations>
    <dataValidation type="list" allowBlank="1" showDropDown="1" showErrorMessage="1" sqref="E2:E201">
      <formula1>"Ana Martinez,Juan Perez,ANA MARTINEZ,MARIA GOMEZ,juan perez,carlos ruiz,Carlos Ruiz"</formula1>
    </dataValidation>
    <dataValidation type="list" allowBlank="1" showDropDown="1" showErrorMessage="1" sqref="D2:D201">
      <formula1>"Corrientes,Posadas,Resistencia,CORRIENTES,Formosa,POSADAS,resistencia"</formula1>
    </dataValidation>
    <dataValidation type="custom" allowBlank="1" showDropDown="1" sqref="C2:C201">
      <formula1>OR(NOT(ISERROR(DATEVALUE(C2))), AND(ISNUMBER(C2), LEFT(CELL("format", C2))="D"))</formula1>
    </dataValidation>
    <dataValidation type="list" allowBlank="1" showDropDown="1" showErrorMessage="1" sqref="A2:A201">
      <formula1>"TRX-1001,TRX-1002,TRX-1003,TRX-1004,TRX-1005,TRX-1006,TRX-1007,TRX-1008,TRX-1009,TRX-1010,TRX-1011,TRX-1012,TRX-1013,TRX-1014,TRX-1015,TRX-1016,TRX-1017,TRX-1018,TRX-1019,TRX-1020,TRX-1021,TRX-1022,TRX-1023,TRX-1024,TRX-1025,TRX-1026,TRX-1027,TRX-1028,TRX"&amp;"-1029,TRX-1030,TRX-1031,TRX-1032,TRX-1033,TRX-1034,TRX-1035,TRX-1036,TRX-1037,TRX-1038,TRX-1039,TRX-1040,TRX-1041,TRX-1042,TRX-1043,TRX-1044,TRX-1045,TRX-1046,TRX-1047,TRX-1048,TRX-1049,TRX-1050,TRX-1051,TRX-1052,TRX-1053,TRX-1054,TRX-1055,TRX-1056,TRX-10"&amp;"57,TRX-1058,TRX-1059,TRX-1060,TRX-1061,TRX-1062,TRX-1063,TRX-1064,TRX-1065,TRX-1066,TRX-1067,TRX-1068,TRX-1069,TRX-1070,TRX-1071,TRX-1072,TRX-1073,TRX-1074,TRX-1075,TRX-1076,TRX-1077,TRX-1078,TRX-1079,TRX-1080,TRX-1081,TRX-1082,TRX-1083,TRX-1084,TRX-1085,"&amp;"TRX-1086,TRX-1087,TRX-1088,TRX-1089,TRX-1090,TRX-1091,TRX-1092,TRX-1093,TRX-1094,TRX-1095,TRX-1096,TRX-1097,TRX-1098,TRX-1099,TRX-1100,TRX-1101,TRX-1102,TRX-1103,TRX-1104,TRX-1105,TRX-1106,TRX-1107,TRX-1108,TRX-1109,TRX-1110,TRX-1111,TRX-1112,TRX-1113,TRX"&amp;"-1114,TRX-1115,TRX-1116,TRX-1117,TRX-1118,TRX-1119,TRX-1120,TRX-1121,TRX-1122,TRX-1123,TRX-1124,TRX-1125,TRX-1126,TRX-1127,TRX-1128,TRX-1129,TRX-1130,TRX-1131,TRX-1132,TRX-1133,TRX-1134,TRX-1135,TRX-1136,TRX-1137,TRX-1138,TRX-1139,TRX-1140,TRX-1141,TRX-11"&amp;"42,TRX-1143,TRX-1144,TRX-1145,TRX-1146,TRX-1147,TRX-1148,TRX-1149,TRX-1150,TRX-1151,TRX-1152,TRX-1153,TRX-1154,TRX-1155,TRX-1156,TRX-1157,TRX-1158,TRX-1159,TRX-1160,TRX-1161,TRX-1162,TRX-1163,TRX-1164,TRX-1165,TRX-1166,TRX-1167,TRX-1168,TRX-1169,TRX-1170,"&amp;"TRX-1171,TRX-1172,TRX-1173,TRX-1174,TRX-1175,TRX-1176,TRX-1177,TRX-1178,TRX-1179,TRX-1180,TRX-1181,TRX-1182,TRX-1183,TRX-1184,TRX-1185,TRX-1186,TRX-1187,TRX-1188,TRX-1189,TRX-1190,TRX-1191,TRX-1192,TRX-1193,TRX-1194,TRX-1195,TRX-1196,TRX-1197,TRX-1198,TRX"&amp;"-1199,TRX-1200"</formula1>
    </dataValidation>
    <dataValidation type="custom" allowBlank="1" showDropDown="1" sqref="B2:B201 G2:I201 P2:R20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88"/>
  </cols>
  <sheetData>
    <row r="1" ht="22.5" customHeight="1">
      <c r="A1" s="3" t="s">
        <v>96</v>
      </c>
      <c r="B1" s="3" t="s">
        <v>97</v>
      </c>
    </row>
    <row r="2" ht="22.5" customHeight="1">
      <c r="A2" s="12" t="s">
        <v>88</v>
      </c>
      <c r="B2" s="14">
        <f t="array" ref="B2">SUM( IFS(Tabla_1[Sucursal_Limpia]=A2,Tabla_1[Cantidad_Auditada]*Tabla_1[Precio_Unitario], TRUE, 0  ))</f>
        <v>8339700</v>
      </c>
    </row>
    <row r="3" ht="22.5" customHeight="1">
      <c r="A3" s="12" t="s">
        <v>99</v>
      </c>
      <c r="B3" s="14">
        <f t="array" ref="B3">SUM( IFS(Tabla_Solucion!$J$2:$J$201=A3,Tabla_Solucion!$K$2:$K$201*Tabla_Solucion!$H$2:$H$201, TRUE, 0  ))</f>
        <v>12305400</v>
      </c>
    </row>
    <row r="4" ht="22.5" customHeight="1">
      <c r="A4" s="12" t="s">
        <v>102</v>
      </c>
      <c r="B4" s="14">
        <f t="array" ref="B4">SUM( IFS(Tabla_Solucion!$J$2:$J$201=A4,Tabla_Solucion!$K$2:$K$201*Tabla_Solucion!$H$2:$H$201, TRUE, 0  ))</f>
        <v>13394400</v>
      </c>
    </row>
    <row r="5" ht="22.5" customHeight="1">
      <c r="A5" s="12" t="s">
        <v>103</v>
      </c>
      <c r="B5" s="14">
        <f t="array" ref="B5">SUM( IFS(Tabla_Solucion!$J$2:$J$201=A5,Tabla_Solucion!$K$2:$K$201*Tabla_Solucion!$H$2:$H$201, TRUE, 0  ))</f>
        <v>6499100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8" max="8" width="34.25"/>
    <col customWidth="1" min="9" max="9" width="16.63"/>
  </cols>
  <sheetData>
    <row r="2">
      <c r="H2" s="17" t="s">
        <v>163</v>
      </c>
      <c r="I2" s="18">
        <f>SUM(Tabla_1[Ganancia_Neta])</f>
        <v>14127200</v>
      </c>
    </row>
    <row r="3">
      <c r="H3" s="17" t="s">
        <v>164</v>
      </c>
      <c r="I3" s="20">
        <f>AVERAGE(Tabla_1[Ganancia_Neta]) / AVERAGE(Tabla_1[Total_Venta])</f>
        <v>0.3509287918</v>
      </c>
    </row>
    <row r="4"/>
    <row r="5"/>
    <row r="6"/>
    <row r="7"/>
    <row r="8"/>
    <row r="9"/>
    <row r="10"/>
    <row r="11"/>
    <row r="12"/>
  </sheetData>
  <drawing r:id="rId3"/>
</worksheet>
</file>